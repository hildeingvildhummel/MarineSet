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de\Documents\CWI\Projects\KD_Ships\Administratie\"/>
    </mc:Choice>
  </mc:AlternateContent>
  <xr:revisionPtr revIDLastSave="0" documentId="13_ncr:1_{C152AA88-B6AB-4821-916D-9B541831F8FA}" xr6:coauthVersionLast="47" xr6:coauthVersionMax="47" xr10:uidLastSave="{00000000-0000-0000-0000-000000000000}"/>
  <bookViews>
    <workbookView xWindow="-108" yWindow="-108" windowWidth="23256" windowHeight="12456" xr2:uid="{CFBA96A7-A45F-4AEF-9EFB-55A96AA1A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" i="1"/>
  <c r="O2" i="1"/>
  <c r="N32" i="1"/>
  <c r="P32" i="1" s="1"/>
  <c r="N33" i="1"/>
  <c r="P33" i="1" s="1"/>
  <c r="N34" i="1"/>
  <c r="P34" i="1" s="1"/>
  <c r="N35" i="1"/>
  <c r="P35" i="1" s="1"/>
  <c r="N36" i="1"/>
  <c r="P36" i="1" s="1"/>
  <c r="N37" i="1"/>
  <c r="O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O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O54" i="1" s="1"/>
  <c r="N55" i="1"/>
  <c r="P55" i="1" s="1"/>
  <c r="N56" i="1"/>
  <c r="P56" i="1" s="1"/>
  <c r="N57" i="1"/>
  <c r="P57" i="1" s="1"/>
  <c r="N58" i="1"/>
  <c r="P58" i="1" s="1"/>
  <c r="N59" i="1"/>
  <c r="O59" i="1" s="1"/>
  <c r="N60" i="1"/>
  <c r="P60" i="1" s="1"/>
  <c r="N61" i="1"/>
  <c r="O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O67" i="1" s="1"/>
  <c r="N68" i="1"/>
  <c r="O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O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O85" i="1" s="1"/>
  <c r="N86" i="1"/>
  <c r="P86" i="1" s="1"/>
  <c r="N87" i="1"/>
  <c r="P87" i="1" s="1"/>
  <c r="N88" i="1"/>
  <c r="P88" i="1" s="1"/>
  <c r="N89" i="1"/>
  <c r="P89" i="1" s="1"/>
  <c r="N90" i="1"/>
  <c r="O90" i="1" s="1"/>
  <c r="N91" i="1"/>
  <c r="P91" i="1" s="1"/>
  <c r="N92" i="1"/>
  <c r="P92" i="1" s="1"/>
  <c r="N93" i="1"/>
  <c r="O93" i="1" s="1"/>
  <c r="N94" i="1"/>
  <c r="P94" i="1" s="1"/>
  <c r="N95" i="1"/>
  <c r="P95" i="1" s="1"/>
  <c r="N96" i="1"/>
  <c r="P96" i="1" s="1"/>
  <c r="N97" i="1"/>
  <c r="P97" i="1" s="1"/>
  <c r="N98" i="1"/>
  <c r="O98" i="1" s="1"/>
  <c r="N99" i="1"/>
  <c r="O99" i="1" s="1"/>
  <c r="N100" i="1"/>
  <c r="O100" i="1" s="1"/>
  <c r="N101" i="1"/>
  <c r="P101" i="1" s="1"/>
  <c r="N102" i="1"/>
  <c r="P102" i="1" s="1"/>
  <c r="N103" i="1"/>
  <c r="P103" i="1" s="1"/>
  <c r="N104" i="1"/>
  <c r="O104" i="1" s="1"/>
  <c r="N105" i="1"/>
  <c r="P105" i="1" s="1"/>
  <c r="N106" i="1"/>
  <c r="P106" i="1" s="1"/>
  <c r="N107" i="1"/>
  <c r="O107" i="1" s="1"/>
  <c r="N108" i="1"/>
  <c r="P108" i="1" s="1"/>
  <c r="N109" i="1"/>
  <c r="P109" i="1" s="1"/>
  <c r="N110" i="1"/>
  <c r="P110" i="1" s="1"/>
  <c r="N111" i="1"/>
  <c r="P111" i="1" s="1"/>
  <c r="N112" i="1"/>
  <c r="O112" i="1" s="1"/>
  <c r="N113" i="1"/>
  <c r="P113" i="1" s="1"/>
  <c r="N114" i="1"/>
  <c r="O114" i="1" s="1"/>
  <c r="N115" i="1"/>
  <c r="P115" i="1" s="1"/>
  <c r="N116" i="1"/>
  <c r="P116" i="1" s="1"/>
  <c r="N117" i="1"/>
  <c r="P117" i="1" s="1"/>
  <c r="N31" i="1"/>
  <c r="P31" i="1" s="1"/>
  <c r="N30" i="1"/>
  <c r="P30" i="1" s="1"/>
  <c r="O55" i="1" l="1"/>
  <c r="P100" i="1"/>
  <c r="P59" i="1"/>
  <c r="P54" i="1"/>
  <c r="P44" i="1"/>
  <c r="P114" i="1"/>
  <c r="O69" i="1"/>
  <c r="P90" i="1"/>
  <c r="O38" i="1"/>
  <c r="P85" i="1"/>
  <c r="O39" i="1"/>
  <c r="P74" i="1"/>
  <c r="P104" i="1"/>
  <c r="O47" i="1"/>
  <c r="O84" i="1"/>
  <c r="O113" i="1"/>
  <c r="O83" i="1"/>
  <c r="O53" i="1"/>
  <c r="P99" i="1"/>
  <c r="P68" i="1"/>
  <c r="O97" i="1"/>
  <c r="O82" i="1"/>
  <c r="O66" i="1"/>
  <c r="O52" i="1"/>
  <c r="O36" i="1"/>
  <c r="P98" i="1"/>
  <c r="P67" i="1"/>
  <c r="P37" i="1"/>
  <c r="O77" i="1"/>
  <c r="O31" i="1"/>
  <c r="P112" i="1"/>
  <c r="O106" i="1"/>
  <c r="O92" i="1"/>
  <c r="O76" i="1"/>
  <c r="O60" i="1"/>
  <c r="O46" i="1"/>
  <c r="O30" i="1"/>
  <c r="P107" i="1"/>
  <c r="P93" i="1"/>
  <c r="P61" i="1"/>
  <c r="O105" i="1"/>
  <c r="O91" i="1"/>
  <c r="O75" i="1"/>
  <c r="O45" i="1"/>
  <c r="O111" i="1"/>
  <c r="O103" i="1"/>
  <c r="O96" i="1"/>
  <c r="O89" i="1"/>
  <c r="O81" i="1"/>
  <c r="O73" i="1"/>
  <c r="O65" i="1"/>
  <c r="O51" i="1"/>
  <c r="O43" i="1"/>
  <c r="O35" i="1"/>
  <c r="O117" i="1"/>
  <c r="O110" i="1"/>
  <c r="O102" i="1"/>
  <c r="O88" i="1"/>
  <c r="O80" i="1"/>
  <c r="O72" i="1"/>
  <c r="O64" i="1"/>
  <c r="O58" i="1"/>
  <c r="O50" i="1"/>
  <c r="O42" i="1"/>
  <c r="O34" i="1"/>
  <c r="O116" i="1"/>
  <c r="O109" i="1"/>
  <c r="O101" i="1"/>
  <c r="O95" i="1"/>
  <c r="O87" i="1"/>
  <c r="O79" i="1"/>
  <c r="O71" i="1"/>
  <c r="O63" i="1"/>
  <c r="O57" i="1"/>
  <c r="O49" i="1"/>
  <c r="O41" i="1"/>
  <c r="O33" i="1"/>
  <c r="O115" i="1"/>
  <c r="O108" i="1"/>
  <c r="O94" i="1"/>
  <c r="O86" i="1"/>
  <c r="O78" i="1"/>
  <c r="O70" i="1"/>
  <c r="O62" i="1"/>
  <c r="O56" i="1"/>
  <c r="O48" i="1"/>
  <c r="O40" i="1"/>
  <c r="O32" i="1"/>
</calcChain>
</file>

<file path=xl/sharedStrings.xml><?xml version="1.0" encoding="utf-8"?>
<sst xmlns="http://schemas.openxmlformats.org/spreadsheetml/2006/main" count="936" uniqueCount="496">
  <si>
    <t>Audio Start</t>
  </si>
  <si>
    <t>Audio End</t>
  </si>
  <si>
    <t>Latitude</t>
  </si>
  <si>
    <t>Longitude</t>
  </si>
  <si>
    <t>Depth</t>
  </si>
  <si>
    <t>Samplerate</t>
  </si>
  <si>
    <t>nefsc_monh_20210205</t>
  </si>
  <si>
    <t>2021-02-27T18:07:13</t>
  </si>
  <si>
    <t>2021-03-14T05:07:15</t>
  </si>
  <si>
    <t>nefsc_monh_20210314</t>
  </si>
  <si>
    <t>2021-03-14T02:07:15</t>
  </si>
  <si>
    <t>2021-05-13T13:46:00</t>
  </si>
  <si>
    <t>nefsc_monh_20210513</t>
  </si>
  <si>
    <t>2021-05-13T19:17:16</t>
  </si>
  <si>
    <t>2021-08-27T14:25:00</t>
  </si>
  <si>
    <t>nefsc_monh_20210827</t>
  </si>
  <si>
    <t>2021-08-27T15:45:00</t>
  </si>
  <si>
    <t>2021-12-18T16:45:00</t>
  </si>
  <si>
    <t>nefsc_pmanan_20201231</t>
  </si>
  <si>
    <t>2020-12-31T01:35:00</t>
  </si>
  <si>
    <t>2021-03-08T07:37:51</t>
  </si>
  <si>
    <t>nefsc_pmanan_20210323</t>
  </si>
  <si>
    <t>2021-03-23T20:31:00</t>
  </si>
  <si>
    <t>2021-05-20T17:10:00</t>
  </si>
  <si>
    <t>nefsc_pmanan_20210520</t>
  </si>
  <si>
    <t>2021-05-20T22:09:00</t>
  </si>
  <si>
    <t>2021-07-23T17:45:00</t>
  </si>
  <si>
    <t>nefsc_pmanan_20210723</t>
  </si>
  <si>
    <t>2021-07-23T14:56:00</t>
  </si>
  <si>
    <t>2021-12-10T01:31:21</t>
  </si>
  <si>
    <t>nrs</t>
  </si>
  <si>
    <t>nrs_09_2019-2020</t>
  </si>
  <si>
    <t>nrs_09_2020-2021</t>
  </si>
  <si>
    <t>nrs_09_2021-2022</t>
  </si>
  <si>
    <t>nrs_09_2022-2023</t>
  </si>
  <si>
    <t>2022-09-26T00:00:00</t>
  </si>
  <si>
    <t>2023-08-21T00:00:00</t>
  </si>
  <si>
    <t>2021-09-07T00:00:00</t>
  </si>
  <si>
    <t>2022-10-17T00:00:00</t>
  </si>
  <si>
    <t>2020-11-26T00:00:00</t>
  </si>
  <si>
    <t>2020-11-17T00:00:00</t>
  </si>
  <si>
    <t>2021-11-04T00:00:00</t>
  </si>
  <si>
    <t>2019-11-12T00:00:00</t>
  </si>
  <si>
    <t>onms</t>
  </si>
  <si>
    <t>onms_sb01_20220613</t>
  </si>
  <si>
    <t>2022-06-13T18:00:00</t>
  </si>
  <si>
    <t>2022-08-26T15:20:00</t>
  </si>
  <si>
    <t>onms_sb01_20220826</t>
  </si>
  <si>
    <t>onms_sb01_20221017</t>
  </si>
  <si>
    <t>onms_sb01_20221221</t>
  </si>
  <si>
    <t>onms_sb01_20230601</t>
  </si>
  <si>
    <t>onms_sb01_20230731</t>
  </si>
  <si>
    <t>onms_sb01_20231208</t>
  </si>
  <si>
    <t>2022-08-26T17:00:00</t>
  </si>
  <si>
    <t>2022-10-17T16:00:00</t>
  </si>
  <si>
    <t>2022-10-17T18:00:00</t>
  </si>
  <si>
    <t>2022-12-21T16:00:00</t>
  </si>
  <si>
    <t>2022-12-21T18:00:00</t>
  </si>
  <si>
    <t>2023-03-29T12:41:45</t>
  </si>
  <si>
    <t>2023-06-01T17:43:00</t>
  </si>
  <si>
    <t>2023-07-31T16:11:00</t>
  </si>
  <si>
    <t>2023-07-31T17:30:00</t>
  </si>
  <si>
    <t>2023-12-08T14:28:00</t>
  </si>
  <si>
    <t>2023-12-08T15:03:00</t>
  </si>
  <si>
    <t>2024-05-24T12:49:00</t>
  </si>
  <si>
    <t>adeon</t>
  </si>
  <si>
    <t>amar510.1.512</t>
  </si>
  <si>
    <t>2018-11-12T15:59:59</t>
  </si>
  <si>
    <t>2019-07-07T09:00:03</t>
  </si>
  <si>
    <t>adeon_hat_amar_378.1.512</t>
  </si>
  <si>
    <t>coastal_studies_institute</t>
  </si>
  <si>
    <t>magi</t>
  </si>
  <si>
    <t>2020-06-26T08:00:00</t>
  </si>
  <si>
    <t>2020-11-15T00:00:00</t>
  </si>
  <si>
    <t>adeon_wil_amar_532.1.512</t>
  </si>
  <si>
    <t>adeon_sav_amar_679.1.152</t>
  </si>
  <si>
    <t>2019-10-25T18:52:53</t>
  </si>
  <si>
    <t>2020-11-29T09:38:57</t>
  </si>
  <si>
    <t>adeon_chb_amar706.1.512</t>
  </si>
  <si>
    <t>2019-10-31T08:55:28</t>
  </si>
  <si>
    <t>2020-12-04T21:05:32</t>
  </si>
  <si>
    <t>onms_gr01_20240417</t>
  </si>
  <si>
    <t>2024-04-17T15:00:00</t>
  </si>
  <si>
    <t>2024-08-29T14:00:00</t>
  </si>
  <si>
    <t>sanctsound</t>
  </si>
  <si>
    <t>sanctsound_gr02_06</t>
  </si>
  <si>
    <t>2021-04-18T18:00:00</t>
  </si>
  <si>
    <t>2021-12-27T21:00:00</t>
  </si>
  <si>
    <t>sanctsound_gr03_06</t>
  </si>
  <si>
    <t>2021-04-18T17:00:00</t>
  </si>
  <si>
    <t>2021-08-26T18:27:00</t>
  </si>
  <si>
    <t>adeon_jax_amar495.1.512</t>
  </si>
  <si>
    <t>2020-01-12T17:00:00</t>
  </si>
  <si>
    <t>2020-12-13T12:28:00</t>
  </si>
  <si>
    <t>2019-06-17T00:00:00</t>
  </si>
  <si>
    <t>nrs_07_2019-2021</t>
  </si>
  <si>
    <t>2021-06-27T00:00:00</t>
  </si>
  <si>
    <t>adeon_ble_amar705.1.512</t>
  </si>
  <si>
    <t>2019-10-28T14:38:49</t>
  </si>
  <si>
    <t>2020-12-02T06:08:54</t>
  </si>
  <si>
    <t>sanctsound_fk02_06</t>
  </si>
  <si>
    <t>2021-01-15T18:00:00</t>
  </si>
  <si>
    <t>2021-05-15T06:15:00</t>
  </si>
  <si>
    <t>sanctsound_fk03_08</t>
  </si>
  <si>
    <t>2021-07-24T15:00:00</t>
  </si>
  <si>
    <t>2021-08-24T14:16:00</t>
  </si>
  <si>
    <t>onms_fk05_20240116</t>
  </si>
  <si>
    <t>2024-01-16T16:00:00</t>
  </si>
  <si>
    <t>2024-05-15T17:00:00</t>
  </si>
  <si>
    <t>onms_fk07_20240515</t>
  </si>
  <si>
    <t>2024-09-18T14:00:00</t>
  </si>
  <si>
    <t>onms_fk01_20240116</t>
  </si>
  <si>
    <t>2024-01-16T15:00:00</t>
  </si>
  <si>
    <t>2024-05-15T14:00:00</t>
  </si>
  <si>
    <t>nrs_06_2020-2022</t>
  </si>
  <si>
    <t>2020-08-14T00:00:00</t>
  </si>
  <si>
    <t>2022-06-08T00:00:00</t>
  </si>
  <si>
    <t>boem</t>
  </si>
  <si>
    <t>dep04_s9</t>
  </si>
  <si>
    <t>2019-11-05T15:14:24</t>
  </si>
  <si>
    <t>2020-06-08T02:51:24</t>
  </si>
  <si>
    <t>Quality</t>
  </si>
  <si>
    <t>excellent</t>
  </si>
  <si>
    <t>dep02_s9_2</t>
  </si>
  <si>
    <t>2018-11-01T01:08:24</t>
  </si>
  <si>
    <t>2019-05-07T04:34:24</t>
  </si>
  <si>
    <t>boem_ngomexpam_shru_2019_slope</t>
  </si>
  <si>
    <t>2019-09-17T17:44:24</t>
  </si>
  <si>
    <t>2020-03-11T15:44:24</t>
  </si>
  <si>
    <t>good</t>
  </si>
  <si>
    <t>boem_ngomexpam_shru_2019_canyon</t>
  </si>
  <si>
    <t>2019-09-18T15:14:24</t>
  </si>
  <si>
    <t>2020-03-12T12:08:24</t>
  </si>
  <si>
    <t>dep04_s6</t>
  </si>
  <si>
    <t>2019-11-04T13:54:24</t>
  </si>
  <si>
    <t>2020-06-11T10:35:24</t>
  </si>
  <si>
    <t>dep04_s3</t>
  </si>
  <si>
    <t>2019-11-04T20:46:24</t>
  </si>
  <si>
    <t>2020-06-04T05:24:24</t>
  </si>
  <si>
    <t>dep02_s1</t>
  </si>
  <si>
    <t>2018-11-05T17:53:24</t>
  </si>
  <si>
    <t>2019-05-06T18:17:24</t>
  </si>
  <si>
    <t>onms_fgb01_20240613</t>
  </si>
  <si>
    <t>2024-06-13T21:00:00</t>
  </si>
  <si>
    <t>2024-09-19T16:00:00</t>
  </si>
  <si>
    <t>good, unusable: 0 - 20 Hz</t>
  </si>
  <si>
    <t>sanctsound_ci03_07</t>
  </si>
  <si>
    <t>2021-09-16T04:00:09</t>
  </si>
  <si>
    <t>2022-01-19T11:00:09</t>
  </si>
  <si>
    <t>sanctsound_ci04_06</t>
  </si>
  <si>
    <t>2020-10-23T09:00:09</t>
  </si>
  <si>
    <t>2021-03-03T00:00:09</t>
  </si>
  <si>
    <t>nrs_05_2018-2020</t>
  </si>
  <si>
    <t>2018-01-16T00:28:00</t>
  </si>
  <si>
    <t>2020-01-17T22:39:00</t>
  </si>
  <si>
    <t>nrs_05_2019_2021</t>
  </si>
  <si>
    <t>2019-12-19T00:00:00</t>
  </si>
  <si>
    <t>2021-12-29T00:00:00</t>
  </si>
  <si>
    <t>onms_ci04_20221017</t>
  </si>
  <si>
    <t>2022-10-17T19:06:22</t>
  </si>
  <si>
    <t>2023-01-31T16:44:26</t>
  </si>
  <si>
    <t>good, unusable: 0 - 20 Hz, data gap 19-11-2022 10.30-16.30</t>
  </si>
  <si>
    <t>sanctsound_ci01_07</t>
  </si>
  <si>
    <t>2021-03-05T23:00:09</t>
  </si>
  <si>
    <t>onms_ci01_20221020</t>
  </si>
  <si>
    <t>2022-10-20T23:00:00</t>
  </si>
  <si>
    <t>2023-03-02T10:27:09</t>
  </si>
  <si>
    <t>sanctsound_ci02_07</t>
  </si>
  <si>
    <t>2021-06-19T03:00:09</t>
  </si>
  <si>
    <t>2021-11-11T04:00:09</t>
  </si>
  <si>
    <t>sanctsound_mb03_05_disk04</t>
  </si>
  <si>
    <t>2021-06-02T00:00:00</t>
  </si>
  <si>
    <t>2021-12-24T12:00:00</t>
  </si>
  <si>
    <t>onms_mb02_20230203</t>
  </si>
  <si>
    <t>2022-06-30T17:08:00</t>
  </si>
  <si>
    <t>2023-07-30T09:55:19</t>
  </si>
  <si>
    <t>onms_mb01_20230203</t>
  </si>
  <si>
    <t>2023-02-03T19:59:44</t>
  </si>
  <si>
    <t>2023-08-17T08:21:16</t>
  </si>
  <si>
    <t>sanctsound_mb01_07</t>
  </si>
  <si>
    <t>2020-12-11T20:00:09</t>
  </si>
  <si>
    <t>2021-04-23T17:00:09</t>
  </si>
  <si>
    <t>good (20 Hz +)</t>
  </si>
  <si>
    <t>nrs_11_2019-2021</t>
  </si>
  <si>
    <t>2019-10-24T00:00:00</t>
  </si>
  <si>
    <t>2021-10-04T00:00:00</t>
  </si>
  <si>
    <t>nrs_02_2020-2022</t>
  </si>
  <si>
    <t>2020-08-13T00:00:00</t>
  </si>
  <si>
    <t>2022-08-24T00:00:00</t>
  </si>
  <si>
    <t>good, (10 Hz +)</t>
  </si>
  <si>
    <t>sanctsound_oc03_05</t>
  </si>
  <si>
    <t>2021-10-19T00:00:00</t>
  </si>
  <si>
    <t>2022-02-06T17:00:00</t>
  </si>
  <si>
    <t>good (20 Hz +), compromised 17-01-2022 - 06-02-2022</t>
  </si>
  <si>
    <t>sanctsound_oc04_04</t>
  </si>
  <si>
    <t>2020-08-04T18:00:09</t>
  </si>
  <si>
    <t>2020-12-21T08:00:09</t>
  </si>
  <si>
    <t>sanctsound_oc01_04</t>
  </si>
  <si>
    <t>2020-07-31T02:00:00</t>
  </si>
  <si>
    <t>2020-09-23T00:00:00</t>
  </si>
  <si>
    <t>nrs_01_2018-2020</t>
  </si>
  <si>
    <t>2020-09-15T00:00:00</t>
  </si>
  <si>
    <t>2022-10-14T00:00:00</t>
  </si>
  <si>
    <t>nrs_01_2020-2022</t>
  </si>
  <si>
    <t>2022-09-25T00:00:00</t>
  </si>
  <si>
    <t>nrs_12_2019-2020</t>
  </si>
  <si>
    <t>2019-05-15T00:00:00</t>
  </si>
  <si>
    <t>2020-12-26T00:00:00</t>
  </si>
  <si>
    <t>onms_hi08_20231204</t>
  </si>
  <si>
    <t>2023-12-04T00:00:00</t>
  </si>
  <si>
    <t>2024-05-14T22:50:05</t>
  </si>
  <si>
    <t>onms_hi01_20231201</t>
  </si>
  <si>
    <t>2023-12-01T00:00:00</t>
  </si>
  <si>
    <t>2024-05-08T19:28:25</t>
  </si>
  <si>
    <t>onms_hi03_20221201</t>
  </si>
  <si>
    <t>2022-12-01T00:00:00</t>
  </si>
  <si>
    <t>2023-05-02T19:36:51</t>
  </si>
  <si>
    <t>unverified</t>
  </si>
  <si>
    <t>onms_hi04_20231201</t>
  </si>
  <si>
    <t>2023-12-01T00:00:04</t>
  </si>
  <si>
    <t>2024-05-28T05:49:09</t>
  </si>
  <si>
    <t>onms_pm01_20221001</t>
  </si>
  <si>
    <t>2022-09-30T23:59:58</t>
  </si>
  <si>
    <t>2023-07-04T17:20:35</t>
  </si>
  <si>
    <t>onms_pm02_20221001</t>
  </si>
  <si>
    <t>2023-07-06T00:56:30</t>
  </si>
  <si>
    <t>sanctsound_pm05_01</t>
  </si>
  <si>
    <t>2019-10-01T00:00:38</t>
  </si>
  <si>
    <t>2020-06-13T08:04:38</t>
  </si>
  <si>
    <t>onms_as01_20230317</t>
  </si>
  <si>
    <t>2023-03-17T03:00:00</t>
  </si>
  <si>
    <t>2023-05-27T01:54:38</t>
  </si>
  <si>
    <t>nrs_01-2020-2022</t>
  </si>
  <si>
    <t>good (20 Hz + )</t>
  </si>
  <si>
    <t>nrs_12_2020-2022</t>
  </si>
  <si>
    <t>2020-12-05T00:00:00</t>
  </si>
  <si>
    <t>2022-05-10T00:00:00</t>
  </si>
  <si>
    <t>onms_gr01_2023106</t>
  </si>
  <si>
    <t>2023-01-06T18:00:00</t>
  </si>
  <si>
    <t>2023-06-25T00:26:06</t>
  </si>
  <si>
    <t>onms_gr01_20231130</t>
  </si>
  <si>
    <t>2023-11-30T17:00:00</t>
  </si>
  <si>
    <t>2024-04-08T14:30:00</t>
  </si>
  <si>
    <t>onms_gr01_20230726</t>
  </si>
  <si>
    <t>2023-07-26T14:00:00</t>
  </si>
  <si>
    <t>2023-11-30T16:00:00</t>
  </si>
  <si>
    <t>6 sq mi</t>
  </si>
  <si>
    <t>Area (2 km)</t>
  </si>
  <si>
    <t>AIS data file</t>
  </si>
  <si>
    <t>AIS_173701932402368424_673-1737019325693.csv</t>
  </si>
  <si>
    <t>onms_fk01_20230314</t>
  </si>
  <si>
    <t>2023-03-14T16:00:00</t>
  </si>
  <si>
    <t>2023-06-02T13:00:00</t>
  </si>
  <si>
    <t>onms_fk01_20230603</t>
  </si>
  <si>
    <t>2023-06-03T15:00:00</t>
  </si>
  <si>
    <t>2023-10-22T14:09:45</t>
  </si>
  <si>
    <t>onms_fk01_20240515</t>
  </si>
  <si>
    <t>2024-05-15T14:57:00</t>
  </si>
  <si>
    <t>2024-09-18T14:24:00</t>
  </si>
  <si>
    <t>good, unusable: 0 - 20 Hz, Missing Data from 6-Apr-2024 16:29:33 to 6-Apr-2024 17:02:53 UTC</t>
  </si>
  <si>
    <t>onms_fk05_20230314</t>
  </si>
  <si>
    <t>2023-03-14T17:00:00</t>
  </si>
  <si>
    <t>2023-08-02T16:00:00</t>
  </si>
  <si>
    <t>onms_fk05_20230802</t>
  </si>
  <si>
    <t>2023-08-02T18:00:00</t>
  </si>
  <si>
    <t>2023-12-08T15:27:36</t>
  </si>
  <si>
    <t>good, unusable: 0 - 20 Hz, "Strange low received levels at about 1.5 kHz for start of deployment that disappears after 1 day. Received levels are lower than what they truly may be during this time period over the indicated frequency band.</t>
  </si>
  <si>
    <t>onms_fbg01_20230504</t>
  </si>
  <si>
    <t>2023-05-04T19:00:00</t>
  </si>
  <si>
    <t>2023-07-14T22:00:00</t>
  </si>
  <si>
    <t>onms_fgb01_20230714</t>
  </si>
  <si>
    <t>2023-07-14T23:00:00</t>
  </si>
  <si>
    <t>2023-09-17T01:09:52</t>
  </si>
  <si>
    <t>onms_ci04_20220712</t>
  </si>
  <si>
    <t>2022-07-12T18:00:00</t>
  </si>
  <si>
    <t>2022-10-17T17:45:30</t>
  </si>
  <si>
    <t>onms_ci01_20221209</t>
  </si>
  <si>
    <t>2021-12-09T03:59:49</t>
  </si>
  <si>
    <t>2022-04-22T07:23:14</t>
  </si>
  <si>
    <t>onms_mb02_20220630</t>
  </si>
  <si>
    <t>2022-12-10T07:27:07</t>
  </si>
  <si>
    <t>onms_mb01_20220630</t>
  </si>
  <si>
    <t>2022-06-30T19:59:31</t>
  </si>
  <si>
    <t>2022-11-23T07:47:07</t>
  </si>
  <si>
    <t>onms_hi04_20221201</t>
  </si>
  <si>
    <t>2022-12-01T03:00:00</t>
  </si>
  <si>
    <t>2023-05-26T06:35:00</t>
  </si>
  <si>
    <t>adeon_sav_amar679.1-2-3-4.16</t>
  </si>
  <si>
    <t>sanctsound_gr02_03</t>
  </si>
  <si>
    <t>2019-09-28T20:00:00</t>
  </si>
  <si>
    <t>2020-01-31T10:07:00</t>
  </si>
  <si>
    <t>sanctsound_gr02_05</t>
  </si>
  <si>
    <t>2020-09-27T22:00:00</t>
  </si>
  <si>
    <t>2021-02-13T12:11:00</t>
  </si>
  <si>
    <t>sanctsound_gr03_02</t>
  </si>
  <si>
    <t>sanctsound_gr03_03</t>
  </si>
  <si>
    <t>2019-10-17T19:00:00</t>
  </si>
  <si>
    <t>2019-12-02T23:01:00</t>
  </si>
  <si>
    <t>sanctsound_gr03_04</t>
  </si>
  <si>
    <t>2019-12-06T17:00:00</t>
  </si>
  <si>
    <t>2020-04-24T22:51:00</t>
  </si>
  <si>
    <t>sanctsound_fk02_03</t>
  </si>
  <si>
    <t>2019-10-28T18:52:46</t>
  </si>
  <si>
    <t>2020-02-19T14:24:46</t>
  </si>
  <si>
    <t>sanctsound_fk03_03</t>
  </si>
  <si>
    <t>2019-10-17T23:17:54</t>
  </si>
  <si>
    <t>2019-10-21T15:16:54</t>
  </si>
  <si>
    <t>sanctsound_ci03_03</t>
  </si>
  <si>
    <t>2020-03-18T01:00:09</t>
  </si>
  <si>
    <t>2020-07-21T18:00:09</t>
  </si>
  <si>
    <t>sanctsound_ci03_04</t>
  </si>
  <si>
    <t>2020-08-03T20:00:09</t>
  </si>
  <si>
    <t>2020-11-03T15:00:09</t>
  </si>
  <si>
    <t>good, comporised from 29-05-2021 - 01-07-2022</t>
  </si>
  <si>
    <t>sanctsound_ci03_05</t>
  </si>
  <si>
    <t>2021-03-11T16:00:09</t>
  </si>
  <si>
    <t>sanctsound_ci03_06</t>
  </si>
  <si>
    <t>2021-05-10T20:00:09</t>
  </si>
  <si>
    <t>2021-08-17T03:00:09</t>
  </si>
  <si>
    <t>sanctsound_ci04_02</t>
  </si>
  <si>
    <t>2019-03-26T19:00:09</t>
  </si>
  <si>
    <t>good (20 Hz +), There is a 6.1 hrs gap before the wav file, which starts at 07/13/2019 11:56:07, caused by the recording switching between two data cards\n\nData within the following intervals are suspect:\n'31-Dec-2018 15:50:47' to '14-Feb-2019 20:47:54'</t>
  </si>
  <si>
    <t>sanctsound_ci04_03</t>
  </si>
  <si>
    <t>2019-08-13T21:00:09</t>
  </si>
  <si>
    <t>2019-11-21T19:00:09</t>
  </si>
  <si>
    <t>sanctsound_ci04_04</t>
  </si>
  <si>
    <t>2020-01-31T21:00:09</t>
  </si>
  <si>
    <t>2020-05-22T21:00:09</t>
  </si>
  <si>
    <t>sanctsound_ci04_05</t>
  </si>
  <si>
    <t>2020-06-04T13:00:09</t>
  </si>
  <si>
    <t>2020-10-22T07:00:09</t>
  </si>
  <si>
    <t>sanctsound_ci02_04</t>
  </si>
  <si>
    <t>2020-02-05T21:00:09</t>
  </si>
  <si>
    <t>2020-06-04T15:00:09</t>
  </si>
  <si>
    <t>sanctsound_ci02_05</t>
  </si>
  <si>
    <t>2020-06-04T18:00:09</t>
  </si>
  <si>
    <t>2020-10-22T16:00:09</t>
  </si>
  <si>
    <t>sanctsound_ci02_06</t>
  </si>
  <si>
    <t>2020-10-22T18:00:09</t>
  </si>
  <si>
    <t>2021-03-02T23:00:09</t>
  </si>
  <si>
    <t>sanctsound_ci01_04</t>
  </si>
  <si>
    <t>2020-01-24T19:00:09</t>
  </si>
  <si>
    <t>2020-06-04T20:00:09</t>
  </si>
  <si>
    <t>sanctsound_ci01_05</t>
  </si>
  <si>
    <t>2020-06-04T23:00:09</t>
  </si>
  <si>
    <t>2020-10-10T23:00:09</t>
  </si>
  <si>
    <t>sanctsound_ci01_08</t>
  </si>
  <si>
    <t>2021-07-08T19:00:09</t>
  </si>
  <si>
    <t>2021-09-11T00:00:09</t>
  </si>
  <si>
    <t>sanctsound_mb01_03</t>
  </si>
  <si>
    <t>2019-08-22T20:00:09</t>
  </si>
  <si>
    <t>2019-12-20T18:00:09</t>
  </si>
  <si>
    <t>sanctsound_mb01_06</t>
  </si>
  <si>
    <t>2020-08-21T19:00:09</t>
  </si>
  <si>
    <t>2020-12-11T16:00:09</t>
  </si>
  <si>
    <t>sanctsound_oc04_02</t>
  </si>
  <si>
    <t>2019-08-20T21:00:09</t>
  </si>
  <si>
    <t>2019-09-05T07:00:09</t>
  </si>
  <si>
    <t>AIS_173710363437868433_1112-1737103634979.csv</t>
  </si>
  <si>
    <t>Lat Difference</t>
  </si>
  <si>
    <t>Long Difference</t>
  </si>
  <si>
    <t>AIS_173710485585068434_5511-1737104856226.csv</t>
  </si>
  <si>
    <t>OUT OF SCOPE</t>
  </si>
  <si>
    <t>AIS_173711668930668436_10979-1737116689639.csv</t>
  </si>
  <si>
    <t>AIS_173711699135268437_13011-1737116991731.csv</t>
  </si>
  <si>
    <t>AIS_173711781938868439_13864-1737117821231.csv</t>
  </si>
  <si>
    <t>AIS_173711856671068440_14317-1737118567150.csv</t>
  </si>
  <si>
    <t>AIS_173711918917868442_15332-1737119189544.csv</t>
  </si>
  <si>
    <t>FAILED</t>
  </si>
  <si>
    <t>AIS_173712069353868445_16212-1737120694146.csv</t>
  </si>
  <si>
    <t>AIS_173711974553668444_15922-1737119745927.csv</t>
  </si>
  <si>
    <t>AIS_173712086074168446_16217-1737120861089.csv</t>
  </si>
  <si>
    <t>AIS_173712108518068447_16294-1737121085793.csv</t>
  </si>
  <si>
    <t>Top Left Lon</t>
  </si>
  <si>
    <t>Bottom Right Lon</t>
  </si>
  <si>
    <t>Top Left Lat</t>
  </si>
  <si>
    <t>Bottom Right Lat</t>
  </si>
  <si>
    <t>AIS_173712170513568448_16299-1737121705501.csv</t>
  </si>
  <si>
    <t>AIS_173712181364668449_16304-1737121813996.csv</t>
  </si>
  <si>
    <t>AIS_173712194586868450_16309-1737121946241.csv</t>
  </si>
  <si>
    <t>AIS_173712213458468451_16683-1737122135834.csv</t>
  </si>
  <si>
    <t>AIS_173712232300668452_17019-1737122323593.csv</t>
  </si>
  <si>
    <t>AIS_173712256153768453_17244-1737122562131.csv</t>
  </si>
  <si>
    <t>AIS_173712274377668454_17467-1737122744332.csv</t>
  </si>
  <si>
    <t>AIS_173712291043868455_17480-1737122910813.csv</t>
  </si>
  <si>
    <t>AIS_173712419648868457_18053-1737124196828.csv</t>
  </si>
  <si>
    <t>AIS_173712406044668456_17799-1737124060822.csv</t>
  </si>
  <si>
    <t>AIS_173712452746268459_18441-1737124527819.csv</t>
  </si>
  <si>
    <t>AIS_173712437148268458_18058-1737124371815.csv</t>
  </si>
  <si>
    <t>AIS_173712491628168460_18446-1737124916643.csv</t>
  </si>
  <si>
    <t>AIS_173712508981268461_18820-1737125090181.csv</t>
  </si>
  <si>
    <t>AIS_173712539639168462_19113-1737125396973.csv</t>
  </si>
  <si>
    <t>AIS_173712586444968465_20215-1737125864789.csv</t>
  </si>
  <si>
    <t>AIS_173712570385168464_19944-1737125704340.csv</t>
  </si>
  <si>
    <t>AIS_173712555294668463_19460-1737125553280.csv</t>
  </si>
  <si>
    <t>AIS_173745758057068474_20495-1737457581174.csv</t>
  </si>
  <si>
    <t>AIS_173745782922168475_20780-1737457830678.csv</t>
  </si>
  <si>
    <t>NO VESSELS</t>
  </si>
  <si>
    <t>WRONG COORDINATES</t>
  </si>
  <si>
    <t>AIS_173745858783268477_23414-1737458588266.csv</t>
  </si>
  <si>
    <t>AIS_173745872636868478_23606-1737458726947.csv</t>
  </si>
  <si>
    <t>AIS_173745884557968479_23753-1737458846172.csv</t>
  </si>
  <si>
    <t>AIS_173745896641468480_23876-1737458966733.csv</t>
  </si>
  <si>
    <t>AIS_173745908260768481_23989-1737459083842.csv</t>
  </si>
  <si>
    <t>AIS_173745918863768482_24371-1737459189067.csv</t>
  </si>
  <si>
    <t>AIS_173745932575368483_24529-1737459326102.csv</t>
  </si>
  <si>
    <t>AIS_173745950431868484_24688-1737459504690.csv</t>
  </si>
  <si>
    <t>AIS_173746379388668485_24743-1737463794550.csv</t>
  </si>
  <si>
    <t>AIS_173746393568368486_25119-1737463936302.csv</t>
  </si>
  <si>
    <t>AIS_173746406500068487_25191-1737464065606.csv</t>
  </si>
  <si>
    <t>AIS_173746443194768488_25676-1737464432314.csv</t>
  </si>
  <si>
    <t>AIS_173746461554168489_25892-1737464616111.csv</t>
  </si>
  <si>
    <t>AIS_173746477856468490_25897-1737464778910.csv</t>
  </si>
  <si>
    <t>AIS_173746687133068491_25902-1737466871659.csv</t>
  </si>
  <si>
    <t>AIS_173746697173668492_26069-1737466972397.csv</t>
  </si>
  <si>
    <t>AIS_173746707301168493_26074-1737467073611.csv</t>
  </si>
  <si>
    <t>AIS_173746719144468494_26079-1737467191808.csv</t>
  </si>
  <si>
    <t>AIS_173746731069568495_26112-1737467311063.csv</t>
  </si>
  <si>
    <t>AIS_173746743583668496_26281-1737467436419.csv</t>
  </si>
  <si>
    <t>AIS_173746752988068497_26286-1737467529959.csv</t>
  </si>
  <si>
    <t>2021-07-01T22:00:09</t>
  </si>
  <si>
    <t>AIS_173746762252068498_26291-1737467622897.csv</t>
  </si>
  <si>
    <t>AIS_173746781846068499_26296-1737467819992.csv</t>
  </si>
  <si>
    <t>AIS_173746825703568500_26422-1737468257613.csv</t>
  </si>
  <si>
    <t>AIS_173746836238068501_26427-1737468362474.csv</t>
  </si>
  <si>
    <t>AIS_173746847143868502_26432-1737468471818.csv</t>
  </si>
  <si>
    <t>AIS_173746856759868503_26455-1737468567936.csv</t>
  </si>
  <si>
    <t>AIS_173746867676168504_26627-1737468677329.csv</t>
  </si>
  <si>
    <t>AIS_173746878828068505_26632-1737468788613.csv</t>
  </si>
  <si>
    <t>AIS_173746889009968506_26637-1737468890457.csv</t>
  </si>
  <si>
    <t>AIS_173746898233368507_26857-1737468982694.csv</t>
  </si>
  <si>
    <t>AIS_173746916166468508_27465-1737469162249.csv</t>
  </si>
  <si>
    <t>AIS_173746934881368510_28150-1737469349204.csv</t>
  </si>
  <si>
    <t>AIS_173746955960068511_28486-1737469559972.csv</t>
  </si>
  <si>
    <t>AIS_173746974320368513_29140-1737469743613.csv</t>
  </si>
  <si>
    <t>AIS_173746986109068514_29485-1737469861471.csv</t>
  </si>
  <si>
    <t>audio/monh</t>
  </si>
  <si>
    <t>audio/pmanan</t>
  </si>
  <si>
    <t>audio/12</t>
  </si>
  <si>
    <t>audio/sb01</t>
  </si>
  <si>
    <t>audio/11</t>
  </si>
  <si>
    <t>audio/gr01</t>
  </si>
  <si>
    <t>audio/fk01</t>
  </si>
  <si>
    <t>audio/fk05</t>
  </si>
  <si>
    <t>audio/fgb01</t>
  </si>
  <si>
    <t>audio/ci04</t>
  </si>
  <si>
    <t>audio/ci01</t>
  </si>
  <si>
    <t>audio/mb02</t>
  </si>
  <si>
    <t>audio/mb01</t>
  </si>
  <si>
    <t>audio/hi01</t>
  </si>
  <si>
    <t>audio/hi04</t>
  </si>
  <si>
    <t>audio/fk07</t>
  </si>
  <si>
    <t>audio/mb03</t>
  </si>
  <si>
    <t>audio/oc03</t>
  </si>
  <si>
    <t>audio/hi08</t>
  </si>
  <si>
    <t>audio/hi03</t>
  </si>
  <si>
    <t>audio/pm01</t>
  </si>
  <si>
    <t>audio/pm02</t>
  </si>
  <si>
    <t>audio/as01</t>
  </si>
  <si>
    <t>audio/vac</t>
  </si>
  <si>
    <t>audio/chb</t>
  </si>
  <si>
    <t>audio/sav</t>
  </si>
  <si>
    <t>audio/gr02</t>
  </si>
  <si>
    <t>audio/gr03</t>
  </si>
  <si>
    <t>audio/wil</t>
  </si>
  <si>
    <t>audio/jax</t>
  </si>
  <si>
    <t>audio/ble</t>
  </si>
  <si>
    <t>audio/hat</t>
  </si>
  <si>
    <t>audio/ncroep/hat01</t>
  </si>
  <si>
    <t>audio/fk02</t>
  </si>
  <si>
    <t>audio/fk03</t>
  </si>
  <si>
    <t>audio/ci03</t>
  </si>
  <si>
    <t>audio/ci02</t>
  </si>
  <si>
    <t>audio/mbo01</t>
  </si>
  <si>
    <t>audio/oc04</t>
  </si>
  <si>
    <t>audio/oc01</t>
  </si>
  <si>
    <t>audio/pm05</t>
  </si>
  <si>
    <t>audio/boem_ngomexpam/rockhopper</t>
  </si>
  <si>
    <t>audio/boem_ngomexpam/shru_2019</t>
  </si>
  <si>
    <t>2019-08-13T17:00:09</t>
  </si>
  <si>
    <t>2019-10-24T15:56:23</t>
  </si>
  <si>
    <t>2019-10-23T16:00:00</t>
  </si>
  <si>
    <t>2020-11-28T05:06:27</t>
  </si>
  <si>
    <t>2020-11-27T05:29:59</t>
  </si>
  <si>
    <t>audio/boem_ngomexpam/shru_2020</t>
  </si>
  <si>
    <t>2020-11-04T02:00:09</t>
  </si>
  <si>
    <t>nefsc</t>
  </si>
  <si>
    <t>audio/09</t>
  </si>
  <si>
    <t>audio/07</t>
  </si>
  <si>
    <t>audio/06</t>
  </si>
  <si>
    <t>audio/05</t>
  </si>
  <si>
    <t>audio/02</t>
  </si>
  <si>
    <t>audio/01</t>
  </si>
  <si>
    <t>onms_fk05_20240515</t>
  </si>
  <si>
    <t>2024-05-15T19:00:00</t>
  </si>
  <si>
    <t>2024-09-18T15:00:00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</si>
</sst>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22" fontId="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F975-3714-4E13-95DA-9A9D858DB2CA}">
  <dimension ref="A1:R155"/>
  <sheetViews>
    <sheetView tabSelected="1" workbookViewId="0">
      <pane ySplit="1" topLeftCell="A38" activePane="bottomLeft" state="frozen"/>
      <selection pane="bottomLeft" activeCell="F43" sqref="F43"/>
    </sheetView>
  </sheetViews>
  <sheetFormatPr defaultRowHeight="14.4" x14ac:dyDescent="0.3"/>
  <cols>
    <col min="1" max="1" width="22.88671875" bestFit="1" customWidth="1"/>
    <col min="2" max="2" width="12.44140625" bestFit="1" customWidth="1"/>
    <col min="3" max="3" width="36.109375" bestFit="1" customWidth="1"/>
    <col min="4" max="5" width="18.6640625" bestFit="1" customWidth="1"/>
    <col min="6" max="6" width="9" bestFit="1" customWidth="1"/>
    <col min="7" max="7" width="9.6640625" bestFit="1" customWidth="1"/>
    <col min="10" max="10" width="51.33203125" bestFit="1" customWidth="1"/>
    <col min="11" max="11" width="10.6640625" bestFit="1" customWidth="1"/>
    <col min="12" max="12" width="45.5546875" bestFit="1" customWidth="1"/>
    <col min="13" max="13" width="13.5546875" bestFit="1" customWidth="1"/>
    <col min="14" max="14" width="15.109375" bestFit="1" customWidth="1"/>
    <col min="15" max="15" width="11.6640625" bestFit="1" customWidth="1"/>
    <col min="16" max="16" width="16.33203125" bestFit="1" customWidth="1"/>
    <col min="17" max="17" width="11.109375" bestFit="1" customWidth="1"/>
    <col min="18" max="18" width="15.6640625" bestFit="1" customWidth="1"/>
  </cols>
  <sheetData>
    <row r="1" spans="1:18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121</v>
      </c>
      <c r="K1" t="s">
        <v>247</v>
      </c>
      <c r="L1" t="s">
        <v>248</v>
      </c>
      <c r="M1" t="s">
        <v>359</v>
      </c>
      <c r="N1" t="s">
        <v>360</v>
      </c>
      <c r="O1" t="s">
        <v>373</v>
      </c>
      <c r="P1" t="s">
        <v>374</v>
      </c>
      <c r="Q1" t="s">
        <v>375</v>
      </c>
      <c r="R1" t="s">
        <v>376</v>
      </c>
    </row>
    <row r="2" spans="1:18" x14ac:dyDescent="0.3">
      <c r="A2" s="1" t="s">
        <v>486</v>
      </c>
      <c r="B2" s="1" t="s">
        <v>436</v>
      </c>
      <c r="C2" s="1" t="s">
        <v>6</v>
      </c>
      <c r="D2" s="1" t="s">
        <v>7</v>
      </c>
      <c r="E2" s="1" t="s">
        <v>8</v>
      </c>
      <c r="F2" s="2">
        <v>43.724150000000002</v>
      </c>
      <c r="G2" s="2">
        <v>-69.296149999999997</v>
      </c>
      <c r="H2" s="2">
        <v>-61</v>
      </c>
      <c r="I2" s="1">
        <v>48</v>
      </c>
      <c r="J2" s="1" t="s">
        <v>182</v>
      </c>
      <c r="K2" t="s">
        <v>246</v>
      </c>
      <c r="L2" t="s">
        <v>249</v>
      </c>
      <c r="M2">
        <v>1.797E-2</v>
      </c>
      <c r="N2">
        <v>2.486E-2</v>
      </c>
      <c r="O2">
        <f>G2-N2</f>
        <v>-69.321010000000001</v>
      </c>
      <c r="P2">
        <f>G2+N2</f>
        <v>-69.271289999999993</v>
      </c>
      <c r="Q2">
        <f>F2+M2</f>
        <v>43.74212</v>
      </c>
    </row>
    <row r="3" spans="1:18" x14ac:dyDescent="0.3">
      <c r="A3" s="1" t="s">
        <v>486</v>
      </c>
      <c r="B3" s="1" t="s">
        <v>436</v>
      </c>
      <c r="C3" s="1" t="s">
        <v>9</v>
      </c>
      <c r="D3" s="2" t="s">
        <v>10</v>
      </c>
      <c r="E3" s="2" t="s">
        <v>11</v>
      </c>
      <c r="F3" s="2">
        <v>43.724150000000002</v>
      </c>
      <c r="G3" s="2">
        <v>-69.296149999999997</v>
      </c>
      <c r="H3" s="2">
        <v>-61</v>
      </c>
      <c r="I3" s="2">
        <v>48</v>
      </c>
      <c r="J3" s="1" t="s">
        <v>182</v>
      </c>
      <c r="K3" t="s">
        <v>246</v>
      </c>
      <c r="L3" t="s">
        <v>249</v>
      </c>
      <c r="M3">
        <v>1.797E-2</v>
      </c>
      <c r="N3">
        <v>2.486E-2</v>
      </c>
      <c r="O3">
        <f>G3-N3</f>
        <v>-69.321010000000001</v>
      </c>
      <c r="P3">
        <f t="shared" ref="P3:P61" si="0">G3+N3</f>
        <v>-69.271289999999993</v>
      </c>
      <c r="Q3">
        <f t="shared" ref="Q3:Q61" si="1">F3+M3</f>
        <v>43.74212</v>
      </c>
    </row>
    <row r="4" spans="1:18" x14ac:dyDescent="0.3">
      <c r="A4" s="1" t="s">
        <v>486</v>
      </c>
      <c r="B4" s="1" t="s">
        <v>436</v>
      </c>
      <c r="C4" s="1" t="s">
        <v>12</v>
      </c>
      <c r="D4" s="2" t="s">
        <v>13</v>
      </c>
      <c r="E4" s="2" t="s">
        <v>14</v>
      </c>
      <c r="F4" s="2">
        <v>43.724150000000002</v>
      </c>
      <c r="G4" s="2">
        <v>-69.296149999999997</v>
      </c>
      <c r="H4" s="1">
        <v>-61</v>
      </c>
      <c r="I4" s="2">
        <v>48</v>
      </c>
      <c r="J4" s="1" t="s">
        <v>182</v>
      </c>
      <c r="K4" t="s">
        <v>246</v>
      </c>
      <c r="L4" t="s">
        <v>249</v>
      </c>
      <c r="M4">
        <v>1.797E-2</v>
      </c>
      <c r="N4">
        <v>2.486E-2</v>
      </c>
      <c r="O4">
        <f t="shared" ref="O4:O62" si="2">G4-N4</f>
        <v>-69.321010000000001</v>
      </c>
      <c r="P4">
        <f t="shared" si="0"/>
        <v>-69.271289999999993</v>
      </c>
      <c r="Q4">
        <f t="shared" si="1"/>
        <v>43.74212</v>
      </c>
    </row>
    <row r="5" spans="1:18" x14ac:dyDescent="0.3">
      <c r="A5" s="1" t="s">
        <v>486</v>
      </c>
      <c r="B5" s="1" t="s">
        <v>436</v>
      </c>
      <c r="C5" s="1" t="s">
        <v>15</v>
      </c>
      <c r="D5" s="2" t="s">
        <v>16</v>
      </c>
      <c r="E5" s="2" t="s">
        <v>17</v>
      </c>
      <c r="F5" s="2">
        <v>43.724150000000002</v>
      </c>
      <c r="G5" s="2">
        <v>-69.296149999999997</v>
      </c>
      <c r="H5" s="1">
        <v>-61</v>
      </c>
      <c r="I5" s="2">
        <v>48</v>
      </c>
      <c r="J5" s="1" t="s">
        <v>182</v>
      </c>
      <c r="K5" t="s">
        <v>246</v>
      </c>
      <c r="L5" t="s">
        <v>249</v>
      </c>
      <c r="M5">
        <v>1.797E-2</v>
      </c>
      <c r="N5">
        <v>2.486E-2</v>
      </c>
      <c r="O5">
        <f t="shared" si="2"/>
        <v>-69.321010000000001</v>
      </c>
      <c r="P5">
        <f t="shared" si="0"/>
        <v>-69.271289999999993</v>
      </c>
      <c r="Q5">
        <f t="shared" si="1"/>
        <v>43.74212</v>
      </c>
    </row>
    <row r="6" spans="1:18" x14ac:dyDescent="0.3">
      <c r="A6" s="1" t="s">
        <v>486</v>
      </c>
      <c r="B6" s="1" t="s">
        <v>437</v>
      </c>
      <c r="C6" s="1" t="s">
        <v>18</v>
      </c>
      <c r="D6" s="2" t="s">
        <v>19</v>
      </c>
      <c r="E6" s="2" t="s">
        <v>20</v>
      </c>
      <c r="F6" s="2">
        <v>43.318179999999998</v>
      </c>
      <c r="G6" s="2">
        <v>-67.858999999999995</v>
      </c>
      <c r="H6" s="1">
        <v>-58</v>
      </c>
      <c r="I6" s="2">
        <v>48</v>
      </c>
      <c r="J6" t="s">
        <v>182</v>
      </c>
      <c r="K6" t="s">
        <v>246</v>
      </c>
      <c r="L6" t="s">
        <v>358</v>
      </c>
      <c r="M6">
        <v>1.797E-2</v>
      </c>
      <c r="N6">
        <v>2.469E-2</v>
      </c>
      <c r="O6">
        <f t="shared" si="2"/>
        <v>-67.883690000000001</v>
      </c>
      <c r="P6">
        <f t="shared" si="0"/>
        <v>-67.834309999999988</v>
      </c>
      <c r="Q6">
        <f t="shared" si="1"/>
        <v>43.336149999999996</v>
      </c>
    </row>
    <row r="7" spans="1:18" x14ac:dyDescent="0.3">
      <c r="A7" s="1" t="s">
        <v>486</v>
      </c>
      <c r="B7" s="1" t="s">
        <v>437</v>
      </c>
      <c r="C7" s="1" t="s">
        <v>21</v>
      </c>
      <c r="D7" s="2" t="s">
        <v>22</v>
      </c>
      <c r="E7" s="2" t="s">
        <v>23</v>
      </c>
      <c r="F7" s="2">
        <v>43.318179999999998</v>
      </c>
      <c r="G7" s="2">
        <v>-67.858999999999995</v>
      </c>
      <c r="H7" s="2">
        <v>-58</v>
      </c>
      <c r="I7" s="2">
        <v>48</v>
      </c>
      <c r="J7" t="s">
        <v>182</v>
      </c>
      <c r="K7" t="s">
        <v>246</v>
      </c>
      <c r="L7" t="s">
        <v>358</v>
      </c>
      <c r="M7">
        <v>1.797E-2</v>
      </c>
      <c r="N7">
        <v>2.469E-2</v>
      </c>
      <c r="O7">
        <f t="shared" si="2"/>
        <v>-67.883690000000001</v>
      </c>
      <c r="P7">
        <f t="shared" si="0"/>
        <v>-67.834309999999988</v>
      </c>
      <c r="Q7">
        <f t="shared" si="1"/>
        <v>43.336149999999996</v>
      </c>
    </row>
    <row r="8" spans="1:18" x14ac:dyDescent="0.3">
      <c r="A8" s="1" t="s">
        <v>486</v>
      </c>
      <c r="B8" s="1" t="s">
        <v>437</v>
      </c>
      <c r="C8" s="1" t="s">
        <v>24</v>
      </c>
      <c r="D8" s="2" t="s">
        <v>25</v>
      </c>
      <c r="E8" s="2" t="s">
        <v>26</v>
      </c>
      <c r="F8" s="2">
        <v>43.318179999999998</v>
      </c>
      <c r="G8" s="2">
        <v>-67.858999999999995</v>
      </c>
      <c r="H8" s="1">
        <v>-58</v>
      </c>
      <c r="I8" s="2">
        <v>48</v>
      </c>
      <c r="J8" t="s">
        <v>182</v>
      </c>
      <c r="K8" t="s">
        <v>246</v>
      </c>
      <c r="L8" t="s">
        <v>358</v>
      </c>
      <c r="M8">
        <v>1.797E-2</v>
      </c>
      <c r="N8">
        <v>2.469E-2</v>
      </c>
      <c r="O8">
        <f t="shared" si="2"/>
        <v>-67.883690000000001</v>
      </c>
      <c r="P8">
        <f t="shared" si="0"/>
        <v>-67.834309999999988</v>
      </c>
      <c r="Q8">
        <f t="shared" si="1"/>
        <v>43.336149999999996</v>
      </c>
    </row>
    <row r="9" spans="1:18" x14ac:dyDescent="0.3">
      <c r="A9" s="1" t="s">
        <v>486</v>
      </c>
      <c r="B9" s="1" t="s">
        <v>437</v>
      </c>
      <c r="C9" s="1" t="s">
        <v>27</v>
      </c>
      <c r="D9" s="2" t="s">
        <v>28</v>
      </c>
      <c r="E9" s="2" t="s">
        <v>29</v>
      </c>
      <c r="F9" s="2">
        <v>43.318179999999998</v>
      </c>
      <c r="G9" s="2">
        <v>-67.858999999999995</v>
      </c>
      <c r="H9" s="1">
        <v>-61</v>
      </c>
      <c r="I9" s="2">
        <v>48</v>
      </c>
      <c r="J9" t="s">
        <v>182</v>
      </c>
      <c r="K9" t="s">
        <v>246</v>
      </c>
      <c r="L9" t="s">
        <v>358</v>
      </c>
      <c r="M9">
        <v>1.797E-2</v>
      </c>
      <c r="N9">
        <v>2.469E-2</v>
      </c>
      <c r="O9">
        <f t="shared" si="2"/>
        <v>-67.883690000000001</v>
      </c>
      <c r="P9">
        <f t="shared" si="0"/>
        <v>-67.834309999999988</v>
      </c>
      <c r="Q9">
        <f t="shared" si="1"/>
        <v>43.336149999999996</v>
      </c>
    </row>
    <row r="10" spans="1:18" x14ac:dyDescent="0.3">
      <c r="A10" s="1" t="s">
        <v>30</v>
      </c>
      <c r="B10" s="1" t="s">
        <v>487</v>
      </c>
      <c r="C10" s="1" t="s">
        <v>31</v>
      </c>
      <c r="D10" s="2" t="s">
        <v>42</v>
      </c>
      <c r="E10" s="2" t="s">
        <v>39</v>
      </c>
      <c r="F10" s="2">
        <v>42.404000000000003</v>
      </c>
      <c r="G10" s="2">
        <v>-70.125500000000002</v>
      </c>
      <c r="H10" s="1">
        <v>-75</v>
      </c>
      <c r="I10" s="2">
        <v>5</v>
      </c>
      <c r="J10" t="s">
        <v>129</v>
      </c>
      <c r="K10" t="s">
        <v>246</v>
      </c>
      <c r="L10" t="s">
        <v>361</v>
      </c>
      <c r="M10">
        <v>1.797E-2</v>
      </c>
      <c r="N10">
        <v>2.4330000000000001E-2</v>
      </c>
      <c r="O10">
        <f t="shared" si="2"/>
        <v>-70.149830000000009</v>
      </c>
      <c r="P10">
        <f t="shared" si="0"/>
        <v>-70.101169999999996</v>
      </c>
      <c r="Q10">
        <f t="shared" si="1"/>
        <v>42.421970000000002</v>
      </c>
    </row>
    <row r="11" spans="1:18" x14ac:dyDescent="0.3">
      <c r="A11" s="1" t="s">
        <v>30</v>
      </c>
      <c r="B11" s="1" t="s">
        <v>487</v>
      </c>
      <c r="C11" s="1" t="s">
        <v>32</v>
      </c>
      <c r="D11" s="2" t="s">
        <v>40</v>
      </c>
      <c r="E11" s="2" t="s">
        <v>41</v>
      </c>
      <c r="F11" s="2">
        <v>42.404000000000003</v>
      </c>
      <c r="G11" s="2">
        <v>-70.125500000000002</v>
      </c>
      <c r="H11" s="1">
        <v>-75</v>
      </c>
      <c r="I11" s="2">
        <v>5</v>
      </c>
      <c r="J11" t="s">
        <v>129</v>
      </c>
      <c r="K11" t="s">
        <v>246</v>
      </c>
      <c r="L11" t="s">
        <v>361</v>
      </c>
      <c r="M11">
        <v>1.797E-2</v>
      </c>
      <c r="N11">
        <v>2.4330000000000001E-2</v>
      </c>
      <c r="O11">
        <f t="shared" si="2"/>
        <v>-70.149830000000009</v>
      </c>
      <c r="P11">
        <f t="shared" si="0"/>
        <v>-70.101169999999996</v>
      </c>
      <c r="Q11">
        <f t="shared" si="1"/>
        <v>42.421970000000002</v>
      </c>
    </row>
    <row r="12" spans="1:18" x14ac:dyDescent="0.3">
      <c r="A12" s="1" t="s">
        <v>30</v>
      </c>
      <c r="B12" s="1" t="s">
        <v>487</v>
      </c>
      <c r="C12" s="1" t="s">
        <v>33</v>
      </c>
      <c r="D12" s="2" t="s">
        <v>37</v>
      </c>
      <c r="E12" s="2" t="s">
        <v>38</v>
      </c>
      <c r="F12" s="2">
        <v>42.404000000000003</v>
      </c>
      <c r="G12" s="2">
        <v>70.125500000000002</v>
      </c>
      <c r="H12" s="1">
        <v>-75</v>
      </c>
      <c r="I12" s="2">
        <v>5</v>
      </c>
      <c r="J12" t="s">
        <v>129</v>
      </c>
      <c r="K12" t="s">
        <v>246</v>
      </c>
      <c r="L12" t="s">
        <v>361</v>
      </c>
      <c r="M12">
        <v>1.797E-2</v>
      </c>
      <c r="N12">
        <v>2.4330000000000001E-2</v>
      </c>
      <c r="O12">
        <f t="shared" si="2"/>
        <v>70.101169999999996</v>
      </c>
      <c r="P12">
        <f t="shared" si="0"/>
        <v>70.149830000000009</v>
      </c>
      <c r="Q12">
        <f t="shared" si="1"/>
        <v>42.421970000000002</v>
      </c>
      <c r="R12">
        <f>F12-M12</f>
        <v>42.386030000000005</v>
      </c>
    </row>
    <row r="13" spans="1:18" x14ac:dyDescent="0.3">
      <c r="A13" s="1" t="s">
        <v>30</v>
      </c>
      <c r="B13" s="1" t="s">
        <v>487</v>
      </c>
      <c r="C13" s="1" t="s">
        <v>34</v>
      </c>
      <c r="D13" s="2" t="s">
        <v>35</v>
      </c>
      <c r="E13" s="2" t="s">
        <v>36</v>
      </c>
      <c r="F13" s="2">
        <v>42.404000000000003</v>
      </c>
      <c r="G13" s="2">
        <v>-70.125500000000002</v>
      </c>
      <c r="H13" s="1">
        <v>-75</v>
      </c>
      <c r="I13" s="2">
        <v>5</v>
      </c>
      <c r="J13" s="1" t="s">
        <v>189</v>
      </c>
      <c r="K13" t="s">
        <v>246</v>
      </c>
      <c r="L13" t="s">
        <v>361</v>
      </c>
      <c r="M13">
        <v>1.797E-2</v>
      </c>
      <c r="N13">
        <v>2.4330000000000001E-2</v>
      </c>
      <c r="O13">
        <f t="shared" si="2"/>
        <v>-70.149830000000009</v>
      </c>
      <c r="P13">
        <f t="shared" si="0"/>
        <v>-70.101169999999996</v>
      </c>
      <c r="Q13">
        <f t="shared" si="1"/>
        <v>42.421970000000002</v>
      </c>
      <c r="R13">
        <f t="shared" ref="R13:R71" si="3">F13-M13</f>
        <v>42.386030000000005</v>
      </c>
    </row>
    <row r="14" spans="1:18" x14ac:dyDescent="0.3">
      <c r="A14" s="1" t="s">
        <v>30</v>
      </c>
      <c r="B14" t="s">
        <v>488</v>
      </c>
      <c r="C14" s="1" t="s">
        <v>95</v>
      </c>
      <c r="D14" s="2" t="s">
        <v>94</v>
      </c>
      <c r="E14" s="2" t="s">
        <v>96</v>
      </c>
      <c r="F14" s="2">
        <v>29.33</v>
      </c>
      <c r="G14" s="2">
        <v>-78.02</v>
      </c>
      <c r="H14" s="1">
        <v>-845</v>
      </c>
      <c r="I14" s="2">
        <v>5</v>
      </c>
      <c r="J14" s="1" t="s">
        <v>189</v>
      </c>
      <c r="K14" t="s">
        <v>246</v>
      </c>
      <c r="L14" t="s">
        <v>363</v>
      </c>
      <c r="M14">
        <v>1.797E-2</v>
      </c>
      <c r="N14">
        <v>2.0607888728201299E-2</v>
      </c>
      <c r="O14">
        <f t="shared" si="2"/>
        <v>-78.040607888728204</v>
      </c>
      <c r="P14">
        <f t="shared" si="0"/>
        <v>-77.999392111271789</v>
      </c>
      <c r="Q14">
        <f t="shared" si="1"/>
        <v>29.347969999999997</v>
      </c>
      <c r="R14">
        <f t="shared" si="3"/>
        <v>29.31203</v>
      </c>
    </row>
    <row r="15" spans="1:18" x14ac:dyDescent="0.3">
      <c r="A15" s="1" t="s">
        <v>30</v>
      </c>
      <c r="B15" t="s">
        <v>489</v>
      </c>
      <c r="C15" s="1" t="s">
        <v>114</v>
      </c>
      <c r="D15" s="2" t="s">
        <v>115</v>
      </c>
      <c r="E15" s="2" t="s">
        <v>116</v>
      </c>
      <c r="F15" s="2">
        <v>28.24</v>
      </c>
      <c r="G15" s="2">
        <v>-86.83</v>
      </c>
      <c r="H15" s="1">
        <v>-900</v>
      </c>
      <c r="I15" s="2">
        <v>5</v>
      </c>
      <c r="J15" s="1" t="s">
        <v>189</v>
      </c>
      <c r="K15" t="s">
        <v>246</v>
      </c>
      <c r="L15" t="s">
        <v>364</v>
      </c>
      <c r="M15">
        <v>1.797E-2</v>
      </c>
      <c r="N15">
        <v>2.0393606472629899E-2</v>
      </c>
      <c r="O15">
        <f t="shared" si="2"/>
        <v>-86.850393606472622</v>
      </c>
      <c r="P15">
        <f t="shared" si="0"/>
        <v>-86.809606393527375</v>
      </c>
      <c r="Q15">
        <f t="shared" si="1"/>
        <v>28.257969999999997</v>
      </c>
      <c r="R15">
        <f t="shared" si="3"/>
        <v>28.22203</v>
      </c>
    </row>
    <row r="16" spans="1:18" x14ac:dyDescent="0.3">
      <c r="A16" s="1" t="s">
        <v>30</v>
      </c>
      <c r="B16" t="s">
        <v>490</v>
      </c>
      <c r="C16" s="1" t="s">
        <v>152</v>
      </c>
      <c r="D16" s="2" t="s">
        <v>153</v>
      </c>
      <c r="E16" s="2" t="s">
        <v>154</v>
      </c>
      <c r="F16" s="2">
        <v>33.8979</v>
      </c>
      <c r="G16" s="2">
        <v>-119.545</v>
      </c>
      <c r="H16" s="1">
        <v>-900</v>
      </c>
      <c r="I16" s="2">
        <v>5</v>
      </c>
      <c r="J16" s="1" t="s">
        <v>233</v>
      </c>
      <c r="K16" t="s">
        <v>246</v>
      </c>
      <c r="L16" t="s">
        <v>368</v>
      </c>
      <c r="M16">
        <v>1.797E-2</v>
      </c>
      <c r="N16">
        <v>2.1645198937564399E-2</v>
      </c>
      <c r="O16">
        <f t="shared" si="2"/>
        <v>-119.56664519893756</v>
      </c>
      <c r="P16">
        <f t="shared" si="0"/>
        <v>-119.52335480106244</v>
      </c>
      <c r="Q16">
        <f t="shared" si="1"/>
        <v>33.915869999999998</v>
      </c>
      <c r="R16">
        <f t="shared" si="3"/>
        <v>33.879930000000002</v>
      </c>
    </row>
    <row r="17" spans="1:18" x14ac:dyDescent="0.3">
      <c r="A17" s="1" t="s">
        <v>30</v>
      </c>
      <c r="B17" t="s">
        <v>490</v>
      </c>
      <c r="C17" s="1" t="s">
        <v>155</v>
      </c>
      <c r="D17" s="2" t="s">
        <v>156</v>
      </c>
      <c r="E17" s="2" t="s">
        <v>157</v>
      </c>
      <c r="F17" s="2">
        <v>33.9</v>
      </c>
      <c r="G17" s="2">
        <v>-119.58</v>
      </c>
      <c r="H17" s="1">
        <v>-900</v>
      </c>
      <c r="I17" s="2">
        <v>5</v>
      </c>
      <c r="J17" s="1" t="s">
        <v>189</v>
      </c>
      <c r="K17" t="s">
        <v>246</v>
      </c>
      <c r="L17" t="s">
        <v>365</v>
      </c>
      <c r="M17">
        <v>1.797E-2</v>
      </c>
      <c r="N17">
        <v>2.1645732024021799E-2</v>
      </c>
      <c r="O17">
        <f t="shared" si="2"/>
        <v>-119.60164573202402</v>
      </c>
      <c r="P17">
        <f t="shared" si="0"/>
        <v>-119.55835426797597</v>
      </c>
      <c r="Q17">
        <f t="shared" si="1"/>
        <v>33.917969999999997</v>
      </c>
      <c r="R17">
        <f t="shared" si="3"/>
        <v>33.88203</v>
      </c>
    </row>
    <row r="18" spans="1:18" x14ac:dyDescent="0.3">
      <c r="A18" s="1" t="s">
        <v>30</v>
      </c>
      <c r="B18" t="s">
        <v>440</v>
      </c>
      <c r="C18" s="1" t="s">
        <v>183</v>
      </c>
      <c r="D18" s="2" t="s">
        <v>184</v>
      </c>
      <c r="E18" s="2" t="s">
        <v>185</v>
      </c>
      <c r="F18" s="2">
        <v>37.880000000000003</v>
      </c>
      <c r="G18" s="2">
        <v>-123.45</v>
      </c>
      <c r="H18" s="1">
        <v>-550</v>
      </c>
      <c r="I18" s="2">
        <v>5</v>
      </c>
      <c r="J18" s="1" t="s">
        <v>129</v>
      </c>
      <c r="K18" t="s">
        <v>246</v>
      </c>
      <c r="L18" t="s">
        <v>366</v>
      </c>
      <c r="M18">
        <v>1.797E-2</v>
      </c>
      <c r="N18">
        <v>2.27622684546962E-2</v>
      </c>
      <c r="O18">
        <f t="shared" si="2"/>
        <v>-123.4727622684547</v>
      </c>
      <c r="P18">
        <f t="shared" si="0"/>
        <v>-123.4272377315453</v>
      </c>
      <c r="Q18">
        <f t="shared" si="1"/>
        <v>37.897970000000001</v>
      </c>
      <c r="R18">
        <f t="shared" si="3"/>
        <v>37.862030000000004</v>
      </c>
    </row>
    <row r="19" spans="1:18" x14ac:dyDescent="0.3">
      <c r="A19" s="1" t="s">
        <v>30</v>
      </c>
      <c r="B19" t="s">
        <v>491</v>
      </c>
      <c r="C19" s="1" t="s">
        <v>186</v>
      </c>
      <c r="D19" s="2" t="s">
        <v>187</v>
      </c>
      <c r="E19" s="2" t="s">
        <v>188</v>
      </c>
      <c r="F19" s="2">
        <v>50.2</v>
      </c>
      <c r="G19" s="2">
        <v>-145.1</v>
      </c>
      <c r="H19" s="1">
        <v>-398</v>
      </c>
      <c r="I19" s="2">
        <v>5</v>
      </c>
      <c r="J19" s="1" t="s">
        <v>189</v>
      </c>
      <c r="K19" s="1"/>
      <c r="L19" t="s">
        <v>362</v>
      </c>
      <c r="O19">
        <f t="shared" si="2"/>
        <v>-145.1</v>
      </c>
      <c r="P19">
        <f t="shared" si="0"/>
        <v>-145.1</v>
      </c>
      <c r="Q19">
        <f t="shared" si="1"/>
        <v>50.2</v>
      </c>
      <c r="R19">
        <f t="shared" si="3"/>
        <v>50.2</v>
      </c>
    </row>
    <row r="20" spans="1:18" x14ac:dyDescent="0.3">
      <c r="A20" s="1" t="s">
        <v>30</v>
      </c>
      <c r="B20" t="s">
        <v>492</v>
      </c>
      <c r="C20" s="1" t="s">
        <v>200</v>
      </c>
      <c r="D20" s="2" t="s">
        <v>201</v>
      </c>
      <c r="E20" s="2" t="s">
        <v>202</v>
      </c>
      <c r="F20" s="2">
        <v>72.453999999999994</v>
      </c>
      <c r="G20" s="2">
        <v>-156.57900000000001</v>
      </c>
      <c r="H20" s="1">
        <v>-500</v>
      </c>
      <c r="I20" s="2">
        <v>5</v>
      </c>
      <c r="J20" s="1" t="s">
        <v>129</v>
      </c>
      <c r="K20" s="1"/>
      <c r="L20" t="s">
        <v>362</v>
      </c>
      <c r="O20">
        <f t="shared" si="2"/>
        <v>-156.57900000000001</v>
      </c>
      <c r="P20">
        <f t="shared" si="0"/>
        <v>-156.57900000000001</v>
      </c>
      <c r="Q20">
        <f t="shared" si="1"/>
        <v>72.453999999999994</v>
      </c>
      <c r="R20">
        <f t="shared" si="3"/>
        <v>72.453999999999994</v>
      </c>
    </row>
    <row r="21" spans="1:18" x14ac:dyDescent="0.3">
      <c r="A21" s="1" t="s">
        <v>30</v>
      </c>
      <c r="B21" t="s">
        <v>492</v>
      </c>
      <c r="C21" s="1" t="s">
        <v>232</v>
      </c>
      <c r="D21" s="2" t="s">
        <v>201</v>
      </c>
      <c r="E21" s="2" t="s">
        <v>204</v>
      </c>
      <c r="F21" s="2">
        <v>72.47</v>
      </c>
      <c r="G21" s="2">
        <v>-156.55850000000001</v>
      </c>
      <c r="H21" s="1">
        <v>-420</v>
      </c>
      <c r="I21" s="2">
        <v>5</v>
      </c>
      <c r="J21" s="1" t="s">
        <v>129</v>
      </c>
      <c r="K21" s="1"/>
      <c r="L21" t="s">
        <v>362</v>
      </c>
      <c r="O21">
        <f t="shared" si="2"/>
        <v>-156.55850000000001</v>
      </c>
      <c r="P21">
        <f t="shared" si="0"/>
        <v>-156.55850000000001</v>
      </c>
      <c r="Q21">
        <f t="shared" si="1"/>
        <v>72.47</v>
      </c>
      <c r="R21">
        <f t="shared" si="3"/>
        <v>72.47</v>
      </c>
    </row>
    <row r="22" spans="1:18" x14ac:dyDescent="0.3">
      <c r="A22" s="1" t="s">
        <v>30</v>
      </c>
      <c r="B22" t="s">
        <v>492</v>
      </c>
      <c r="C22" s="1" t="s">
        <v>203</v>
      </c>
      <c r="D22" s="2" t="s">
        <v>201</v>
      </c>
      <c r="E22" s="2" t="s">
        <v>204</v>
      </c>
      <c r="F22" s="2">
        <v>72.47</v>
      </c>
      <c r="G22" s="2">
        <v>-156.55850000000001</v>
      </c>
      <c r="H22" s="1">
        <v>-420</v>
      </c>
      <c r="I22" s="2">
        <v>5</v>
      </c>
      <c r="J22" s="1" t="s">
        <v>129</v>
      </c>
      <c r="K22" s="1"/>
      <c r="L22" t="s">
        <v>362</v>
      </c>
      <c r="O22">
        <f t="shared" si="2"/>
        <v>-156.55850000000001</v>
      </c>
      <c r="P22">
        <f t="shared" si="0"/>
        <v>-156.55850000000001</v>
      </c>
      <c r="Q22">
        <f t="shared" si="1"/>
        <v>72.47</v>
      </c>
      <c r="R22">
        <f t="shared" si="3"/>
        <v>72.47</v>
      </c>
    </row>
    <row r="23" spans="1:18" x14ac:dyDescent="0.3">
      <c r="A23" s="1" t="s">
        <v>30</v>
      </c>
      <c r="B23" t="s">
        <v>438</v>
      </c>
      <c r="C23" s="1" t="s">
        <v>205</v>
      </c>
      <c r="D23" s="2" t="s">
        <v>206</v>
      </c>
      <c r="E23" s="2" t="s">
        <v>207</v>
      </c>
      <c r="F23" s="2">
        <v>17.79</v>
      </c>
      <c r="G23" s="2">
        <v>-64.650000000000006</v>
      </c>
      <c r="H23" s="1">
        <v>-39.6</v>
      </c>
      <c r="I23" s="2">
        <v>5</v>
      </c>
      <c r="J23" s="1" t="s">
        <v>129</v>
      </c>
      <c r="K23" t="s">
        <v>246</v>
      </c>
      <c r="L23" t="s">
        <v>367</v>
      </c>
      <c r="M23">
        <v>1.797E-2</v>
      </c>
      <c r="N23">
        <v>1.8868461791487299E-2</v>
      </c>
      <c r="O23">
        <f t="shared" si="2"/>
        <v>-64.66886846179149</v>
      </c>
      <c r="P23">
        <f t="shared" si="0"/>
        <v>-64.631131538208521</v>
      </c>
      <c r="Q23">
        <f t="shared" si="1"/>
        <v>17.807969999999997</v>
      </c>
      <c r="R23">
        <f t="shared" si="3"/>
        <v>17.772030000000001</v>
      </c>
    </row>
    <row r="24" spans="1:18" x14ac:dyDescent="0.3">
      <c r="A24" s="1" t="s">
        <v>30</v>
      </c>
      <c r="B24" t="s">
        <v>438</v>
      </c>
      <c r="C24" s="1" t="s">
        <v>234</v>
      </c>
      <c r="D24" s="2" t="s">
        <v>235</v>
      </c>
      <c r="E24" s="2" t="s">
        <v>236</v>
      </c>
      <c r="F24" s="2">
        <v>17.79</v>
      </c>
      <c r="G24" s="2">
        <v>-64.650000000000006</v>
      </c>
      <c r="H24" s="1">
        <v>-39.6</v>
      </c>
      <c r="I24" s="2">
        <v>5</v>
      </c>
      <c r="J24" s="1" t="s">
        <v>129</v>
      </c>
      <c r="K24" t="s">
        <v>246</v>
      </c>
      <c r="L24" t="s">
        <v>367</v>
      </c>
      <c r="M24">
        <v>1.797E-2</v>
      </c>
      <c r="N24">
        <v>1.8868461791487299E-2</v>
      </c>
      <c r="O24">
        <f t="shared" si="2"/>
        <v>-64.66886846179149</v>
      </c>
      <c r="P24">
        <f t="shared" si="0"/>
        <v>-64.631131538208521</v>
      </c>
      <c r="Q24">
        <f t="shared" si="1"/>
        <v>17.807969999999997</v>
      </c>
      <c r="R24">
        <f t="shared" si="3"/>
        <v>17.772030000000001</v>
      </c>
    </row>
    <row r="25" spans="1:18" x14ac:dyDescent="0.3">
      <c r="A25" t="s">
        <v>43</v>
      </c>
      <c r="B25" t="s">
        <v>439</v>
      </c>
      <c r="C25" s="1" t="s">
        <v>44</v>
      </c>
      <c r="D25" s="2" t="s">
        <v>45</v>
      </c>
      <c r="E25" s="2" t="s">
        <v>46</v>
      </c>
      <c r="F25" s="2">
        <v>42.43853</v>
      </c>
      <c r="G25" s="2">
        <v>-70.545749999999998</v>
      </c>
      <c r="H25" s="1">
        <v>-50</v>
      </c>
      <c r="I25" s="2">
        <v>48</v>
      </c>
      <c r="J25" s="1" t="s">
        <v>233</v>
      </c>
      <c r="K25" t="s">
        <v>246</v>
      </c>
      <c r="L25" t="s">
        <v>370</v>
      </c>
      <c r="M25">
        <v>1.797E-2</v>
      </c>
      <c r="N25">
        <v>2.4344419485174799E-2</v>
      </c>
      <c r="O25">
        <f t="shared" si="2"/>
        <v>-70.570094419485173</v>
      </c>
      <c r="P25">
        <f t="shared" si="0"/>
        <v>-70.521405580514823</v>
      </c>
      <c r="Q25">
        <f t="shared" si="1"/>
        <v>42.456499999999998</v>
      </c>
      <c r="R25">
        <f t="shared" si="3"/>
        <v>42.420560000000002</v>
      </c>
    </row>
    <row r="26" spans="1:18" x14ac:dyDescent="0.3">
      <c r="A26" t="s">
        <v>43</v>
      </c>
      <c r="B26" t="s">
        <v>439</v>
      </c>
      <c r="C26" s="1" t="s">
        <v>47</v>
      </c>
      <c r="D26" s="2" t="s">
        <v>53</v>
      </c>
      <c r="E26" s="2" t="s">
        <v>54</v>
      </c>
      <c r="F26" s="2">
        <v>42.438450000000003</v>
      </c>
      <c r="G26" s="2">
        <v>-70.545500000000004</v>
      </c>
      <c r="H26" s="1">
        <v>-50</v>
      </c>
      <c r="I26" s="2">
        <v>48</v>
      </c>
      <c r="J26" s="1" t="s">
        <v>233</v>
      </c>
      <c r="K26" t="s">
        <v>246</v>
      </c>
      <c r="L26" t="s">
        <v>369</v>
      </c>
      <c r="M26">
        <v>1.797E-2</v>
      </c>
      <c r="N26">
        <v>2.43443884050441E-2</v>
      </c>
      <c r="O26">
        <f t="shared" si="2"/>
        <v>-70.569844388405045</v>
      </c>
      <c r="P26">
        <f t="shared" si="0"/>
        <v>-70.521155611594963</v>
      </c>
      <c r="Q26">
        <f t="shared" si="1"/>
        <v>42.456420000000001</v>
      </c>
      <c r="R26">
        <f t="shared" si="3"/>
        <v>42.420480000000005</v>
      </c>
    </row>
    <row r="27" spans="1:18" x14ac:dyDescent="0.3">
      <c r="A27" t="s">
        <v>43</v>
      </c>
      <c r="B27" t="s">
        <v>439</v>
      </c>
      <c r="C27" s="1" t="s">
        <v>48</v>
      </c>
      <c r="D27" s="2" t="s">
        <v>55</v>
      </c>
      <c r="E27" s="2" t="s">
        <v>56</v>
      </c>
      <c r="F27" s="2">
        <v>42.43835</v>
      </c>
      <c r="G27" s="2">
        <v>-70.545379999999994</v>
      </c>
      <c r="H27" s="1">
        <v>-50</v>
      </c>
      <c r="I27" s="2">
        <v>48</v>
      </c>
      <c r="J27" s="1" t="s">
        <v>233</v>
      </c>
      <c r="K27" t="s">
        <v>246</v>
      </c>
      <c r="L27" t="s">
        <v>371</v>
      </c>
      <c r="M27">
        <v>1.797E-2</v>
      </c>
      <c r="N27">
        <v>2.4344349555059101E-2</v>
      </c>
      <c r="O27">
        <f t="shared" si="2"/>
        <v>-70.569724349555059</v>
      </c>
      <c r="P27">
        <f t="shared" si="0"/>
        <v>-70.521035650444929</v>
      </c>
      <c r="Q27">
        <f t="shared" si="1"/>
        <v>42.456319999999998</v>
      </c>
      <c r="R27">
        <f t="shared" si="3"/>
        <v>42.420380000000002</v>
      </c>
    </row>
    <row r="28" spans="1:18" x14ac:dyDescent="0.3">
      <c r="A28" t="s">
        <v>43</v>
      </c>
      <c r="B28" t="s">
        <v>439</v>
      </c>
      <c r="C28" s="1" t="s">
        <v>49</v>
      </c>
      <c r="D28" s="2" t="s">
        <v>57</v>
      </c>
      <c r="E28" s="2" t="s">
        <v>58</v>
      </c>
      <c r="F28" s="2">
        <v>42.43817</v>
      </c>
      <c r="G28" s="2">
        <v>-70.545469999999995</v>
      </c>
      <c r="H28" s="1">
        <v>-50</v>
      </c>
      <c r="I28" s="2">
        <v>48</v>
      </c>
      <c r="J28" s="1" t="s">
        <v>233</v>
      </c>
      <c r="K28" t="s">
        <v>246</v>
      </c>
      <c r="L28" t="s">
        <v>372</v>
      </c>
      <c r="M28">
        <v>1.797E-2</v>
      </c>
      <c r="N28">
        <v>2.43442796255855E-2</v>
      </c>
      <c r="O28">
        <f t="shared" si="2"/>
        <v>-70.569814279625575</v>
      </c>
      <c r="P28">
        <f t="shared" si="0"/>
        <v>-70.521125720374414</v>
      </c>
      <c r="Q28">
        <f t="shared" si="1"/>
        <v>42.456139999999998</v>
      </c>
      <c r="R28">
        <f t="shared" si="3"/>
        <v>42.420200000000001</v>
      </c>
    </row>
    <row r="29" spans="1:18" ht="14.25" customHeight="1" x14ac:dyDescent="0.3">
      <c r="A29" t="s">
        <v>43</v>
      </c>
      <c r="B29" t="s">
        <v>439</v>
      </c>
      <c r="C29" s="1" t="s">
        <v>50</v>
      </c>
      <c r="D29" s="2" t="s">
        <v>59</v>
      </c>
      <c r="E29" s="2" t="s">
        <v>60</v>
      </c>
      <c r="F29" s="2">
        <v>42.437980000000003</v>
      </c>
      <c r="G29" s="2">
        <v>-70.545680000000004</v>
      </c>
      <c r="H29" s="1">
        <v>-47</v>
      </c>
      <c r="I29" s="2">
        <v>48</v>
      </c>
      <c r="J29" s="1" t="s">
        <v>145</v>
      </c>
      <c r="K29" t="s">
        <v>246</v>
      </c>
      <c r="L29" t="s">
        <v>377</v>
      </c>
      <c r="M29">
        <v>1.797E-2</v>
      </c>
      <c r="N29">
        <v>2.4344205811837601E-2</v>
      </c>
      <c r="O29">
        <f t="shared" si="2"/>
        <v>-70.570024205811848</v>
      </c>
      <c r="P29">
        <f t="shared" si="0"/>
        <v>-70.521335794188161</v>
      </c>
      <c r="Q29">
        <f t="shared" si="1"/>
        <v>42.455950000000001</v>
      </c>
      <c r="R29">
        <f t="shared" si="3"/>
        <v>42.420010000000005</v>
      </c>
    </row>
    <row r="30" spans="1:18" x14ac:dyDescent="0.3">
      <c r="A30" t="s">
        <v>43</v>
      </c>
      <c r="B30" t="s">
        <v>439</v>
      </c>
      <c r="C30" s="1" t="s">
        <v>51</v>
      </c>
      <c r="D30" s="2" t="s">
        <v>61</v>
      </c>
      <c r="E30" s="2" t="s">
        <v>62</v>
      </c>
      <c r="F30" s="2">
        <v>42.43797</v>
      </c>
      <c r="G30" s="2">
        <v>-70.545580000000001</v>
      </c>
      <c r="H30" s="1">
        <v>-50</v>
      </c>
      <c r="I30" s="2">
        <v>48</v>
      </c>
      <c r="J30" s="1" t="s">
        <v>145</v>
      </c>
      <c r="K30" t="s">
        <v>246</v>
      </c>
      <c r="L30" t="s">
        <v>378</v>
      </c>
      <c r="M30">
        <v>1.797E-2</v>
      </c>
      <c r="N30">
        <f>2 / (111.32 * COS(RADIANS(F30)))</f>
        <v>2.4344201926923364E-2</v>
      </c>
      <c r="O30">
        <f t="shared" si="2"/>
        <v>-70.569924201926924</v>
      </c>
      <c r="P30">
        <f t="shared" si="0"/>
        <v>-70.521235798073079</v>
      </c>
      <c r="Q30">
        <f t="shared" si="1"/>
        <v>42.455939999999998</v>
      </c>
      <c r="R30">
        <f t="shared" si="3"/>
        <v>42.42</v>
      </c>
    </row>
    <row r="31" spans="1:18" x14ac:dyDescent="0.3">
      <c r="A31" t="s">
        <v>43</v>
      </c>
      <c r="B31" t="s">
        <v>439</v>
      </c>
      <c r="C31" s="1" t="s">
        <v>52</v>
      </c>
      <c r="D31" s="2" t="s">
        <v>63</v>
      </c>
      <c r="E31" s="2" t="s">
        <v>64</v>
      </c>
      <c r="F31" s="2">
        <v>42.43712</v>
      </c>
      <c r="G31" s="2">
        <v>-70.545079999999999</v>
      </c>
      <c r="H31" s="1">
        <v>-43.5</v>
      </c>
      <c r="I31" s="2">
        <v>48</v>
      </c>
      <c r="J31" s="1" t="s">
        <v>145</v>
      </c>
      <c r="K31" t="s">
        <v>246</v>
      </c>
      <c r="L31" t="s">
        <v>379</v>
      </c>
      <c r="M31">
        <v>1.797E-2</v>
      </c>
      <c r="N31">
        <f>2 / (111.32 * COS(RADIANS(F31)))</f>
        <v>2.4343871716451453E-2</v>
      </c>
      <c r="O31">
        <f t="shared" si="2"/>
        <v>-70.569423871716452</v>
      </c>
      <c r="P31">
        <f t="shared" si="0"/>
        <v>-70.520736128283545</v>
      </c>
      <c r="Q31">
        <f t="shared" si="1"/>
        <v>42.455089999999998</v>
      </c>
      <c r="R31">
        <f t="shared" si="3"/>
        <v>42.419150000000002</v>
      </c>
    </row>
    <row r="32" spans="1:18" x14ac:dyDescent="0.3">
      <c r="A32" t="s">
        <v>43</v>
      </c>
      <c r="B32" t="s">
        <v>441</v>
      </c>
      <c r="C32" s="1" t="s">
        <v>81</v>
      </c>
      <c r="D32" s="2" t="s">
        <v>82</v>
      </c>
      <c r="E32" s="2" t="s">
        <v>83</v>
      </c>
      <c r="F32" s="2">
        <v>31.396419999999999</v>
      </c>
      <c r="G32" s="2">
        <v>-80.8904</v>
      </c>
      <c r="H32" s="1">
        <v>-18</v>
      </c>
      <c r="I32" s="2">
        <v>48</v>
      </c>
      <c r="J32" s="1" t="s">
        <v>145</v>
      </c>
      <c r="K32" t="s">
        <v>246</v>
      </c>
      <c r="L32" t="s">
        <v>380</v>
      </c>
      <c r="M32">
        <v>1.797E-2</v>
      </c>
      <c r="N32">
        <f t="shared" ref="N32:N90" si="4">2 / (111.32 * COS(RADIANS(F32)))</f>
        <v>2.1048001352448567E-2</v>
      </c>
      <c r="O32">
        <f t="shared" si="2"/>
        <v>-80.911448001352454</v>
      </c>
      <c r="P32">
        <f t="shared" si="0"/>
        <v>-80.869351998647545</v>
      </c>
      <c r="Q32">
        <f t="shared" si="1"/>
        <v>31.414389999999997</v>
      </c>
      <c r="R32">
        <f t="shared" si="3"/>
        <v>31.378450000000001</v>
      </c>
    </row>
    <row r="33" spans="1:18" x14ac:dyDescent="0.3">
      <c r="A33" t="s">
        <v>43</v>
      </c>
      <c r="B33" t="s">
        <v>441</v>
      </c>
      <c r="C33" s="1" t="s">
        <v>237</v>
      </c>
      <c r="D33" s="2" t="s">
        <v>238</v>
      </c>
      <c r="E33" s="2" t="s">
        <v>239</v>
      </c>
      <c r="F33" s="2">
        <v>31.396419999999999</v>
      </c>
      <c r="G33" s="2">
        <v>-80.8904</v>
      </c>
      <c r="H33" s="1">
        <v>-19</v>
      </c>
      <c r="I33" s="2">
        <v>48</v>
      </c>
      <c r="J33" s="1" t="s">
        <v>145</v>
      </c>
      <c r="K33" t="s">
        <v>246</v>
      </c>
      <c r="L33" t="s">
        <v>380</v>
      </c>
      <c r="M33">
        <v>1.797E-2</v>
      </c>
      <c r="N33">
        <f t="shared" si="4"/>
        <v>2.1048001352448567E-2</v>
      </c>
      <c r="O33">
        <f t="shared" si="2"/>
        <v>-80.911448001352454</v>
      </c>
      <c r="P33">
        <f t="shared" si="0"/>
        <v>-80.869351998647545</v>
      </c>
      <c r="Q33">
        <f t="shared" si="1"/>
        <v>31.414389999999997</v>
      </c>
      <c r="R33">
        <f t="shared" si="3"/>
        <v>31.378450000000001</v>
      </c>
    </row>
    <row r="34" spans="1:18" x14ac:dyDescent="0.3">
      <c r="A34" t="s">
        <v>43</v>
      </c>
      <c r="B34" t="s">
        <v>441</v>
      </c>
      <c r="C34" s="1" t="s">
        <v>240</v>
      </c>
      <c r="D34" s="2" t="s">
        <v>241</v>
      </c>
      <c r="E34" s="2" t="s">
        <v>242</v>
      </c>
      <c r="F34" s="2">
        <v>31.396419999999999</v>
      </c>
      <c r="G34" s="2">
        <v>-80.8904</v>
      </c>
      <c r="H34" s="1">
        <v>-18</v>
      </c>
      <c r="I34" s="2">
        <v>48</v>
      </c>
      <c r="J34" s="1" t="s">
        <v>145</v>
      </c>
      <c r="K34" t="s">
        <v>246</v>
      </c>
      <c r="L34" t="s">
        <v>380</v>
      </c>
      <c r="M34">
        <v>1.797E-2</v>
      </c>
      <c r="N34">
        <f t="shared" si="4"/>
        <v>2.1048001352448567E-2</v>
      </c>
      <c r="O34">
        <f t="shared" si="2"/>
        <v>-80.911448001352454</v>
      </c>
      <c r="P34">
        <f t="shared" si="0"/>
        <v>-80.869351998647545</v>
      </c>
      <c r="Q34">
        <f t="shared" si="1"/>
        <v>31.414389999999997</v>
      </c>
      <c r="R34">
        <f t="shared" si="3"/>
        <v>31.378450000000001</v>
      </c>
    </row>
    <row r="35" spans="1:18" x14ac:dyDescent="0.3">
      <c r="A35" t="s">
        <v>43</v>
      </c>
      <c r="B35" t="s">
        <v>441</v>
      </c>
      <c r="C35" s="1" t="s">
        <v>243</v>
      </c>
      <c r="D35" s="2" t="s">
        <v>244</v>
      </c>
      <c r="E35" s="2" t="s">
        <v>245</v>
      </c>
      <c r="F35" s="2">
        <v>31.396419999999999</v>
      </c>
      <c r="G35" s="2">
        <v>-80.8904</v>
      </c>
      <c r="H35" s="1">
        <v>-18</v>
      </c>
      <c r="I35" s="2">
        <v>48</v>
      </c>
      <c r="J35" s="1" t="s">
        <v>145</v>
      </c>
      <c r="K35" t="s">
        <v>246</v>
      </c>
      <c r="L35" t="s">
        <v>380</v>
      </c>
      <c r="M35">
        <v>1.797E-2</v>
      </c>
      <c r="N35">
        <f t="shared" si="4"/>
        <v>2.1048001352448567E-2</v>
      </c>
      <c r="O35">
        <f t="shared" si="2"/>
        <v>-80.911448001352454</v>
      </c>
      <c r="P35">
        <f t="shared" si="0"/>
        <v>-80.869351998647545</v>
      </c>
      <c r="Q35">
        <f t="shared" si="1"/>
        <v>31.414389999999997</v>
      </c>
      <c r="R35">
        <f t="shared" si="3"/>
        <v>31.378450000000001</v>
      </c>
    </row>
    <row r="36" spans="1:18" x14ac:dyDescent="0.3">
      <c r="A36" t="s">
        <v>43</v>
      </c>
      <c r="B36" t="s">
        <v>442</v>
      </c>
      <c r="C36" s="1" t="s">
        <v>111</v>
      </c>
      <c r="D36" s="2" t="s">
        <v>112</v>
      </c>
      <c r="E36" s="2" t="s">
        <v>113</v>
      </c>
      <c r="F36" s="2">
        <v>24.43149</v>
      </c>
      <c r="G36" s="2">
        <v>-81.930269999999993</v>
      </c>
      <c r="H36" s="1">
        <v>-28</v>
      </c>
      <c r="I36" s="2">
        <v>48</v>
      </c>
      <c r="J36" s="1" t="s">
        <v>145</v>
      </c>
      <c r="K36" t="s">
        <v>246</v>
      </c>
      <c r="L36" t="s">
        <v>381</v>
      </c>
      <c r="M36">
        <v>1.797E-2</v>
      </c>
      <c r="N36">
        <f t="shared" si="4"/>
        <v>1.9733204065492532E-2</v>
      </c>
      <c r="O36">
        <f t="shared" si="2"/>
        <v>-81.950003204065482</v>
      </c>
      <c r="P36">
        <f t="shared" si="0"/>
        <v>-81.910536795934505</v>
      </c>
      <c r="Q36">
        <f t="shared" si="1"/>
        <v>24.449459999999998</v>
      </c>
      <c r="R36">
        <f t="shared" si="3"/>
        <v>24.413520000000002</v>
      </c>
    </row>
    <row r="37" spans="1:18" x14ac:dyDescent="0.3">
      <c r="A37" t="s">
        <v>43</v>
      </c>
      <c r="B37" t="s">
        <v>442</v>
      </c>
      <c r="C37" s="1" t="s">
        <v>250</v>
      </c>
      <c r="D37" s="2" t="s">
        <v>251</v>
      </c>
      <c r="E37" s="2" t="s">
        <v>252</v>
      </c>
      <c r="F37" s="2">
        <v>24.43149</v>
      </c>
      <c r="G37" s="2">
        <v>-81.930269999999993</v>
      </c>
      <c r="H37" s="1">
        <v>-27</v>
      </c>
      <c r="I37" s="2">
        <v>48</v>
      </c>
      <c r="J37" s="1" t="s">
        <v>233</v>
      </c>
      <c r="K37" t="s">
        <v>246</v>
      </c>
      <c r="L37" t="s">
        <v>381</v>
      </c>
      <c r="M37">
        <v>1.797E-2</v>
      </c>
      <c r="N37">
        <f t="shared" si="4"/>
        <v>1.9733204065492532E-2</v>
      </c>
      <c r="O37">
        <f t="shared" si="2"/>
        <v>-81.950003204065482</v>
      </c>
      <c r="P37">
        <f t="shared" si="0"/>
        <v>-81.910536795934505</v>
      </c>
      <c r="Q37">
        <f t="shared" si="1"/>
        <v>24.449459999999998</v>
      </c>
      <c r="R37">
        <f t="shared" si="3"/>
        <v>24.413520000000002</v>
      </c>
    </row>
    <row r="38" spans="1:18" x14ac:dyDescent="0.3">
      <c r="A38" t="s">
        <v>43</v>
      </c>
      <c r="B38" t="s">
        <v>442</v>
      </c>
      <c r="C38" s="1" t="s">
        <v>253</v>
      </c>
      <c r="D38" s="2" t="s">
        <v>254</v>
      </c>
      <c r="E38" s="2" t="s">
        <v>255</v>
      </c>
      <c r="F38" s="2">
        <v>24.43149</v>
      </c>
      <c r="G38" s="2">
        <v>-81.930269999999993</v>
      </c>
      <c r="H38" s="1">
        <v>-27</v>
      </c>
      <c r="I38" s="2">
        <v>48</v>
      </c>
      <c r="J38" s="1" t="s">
        <v>145</v>
      </c>
      <c r="K38" t="s">
        <v>246</v>
      </c>
      <c r="L38" t="s">
        <v>381</v>
      </c>
      <c r="M38">
        <v>1.797E-2</v>
      </c>
      <c r="N38">
        <f t="shared" si="4"/>
        <v>1.9733204065492532E-2</v>
      </c>
      <c r="O38">
        <f t="shared" si="2"/>
        <v>-81.950003204065482</v>
      </c>
      <c r="P38">
        <f t="shared" si="0"/>
        <v>-81.910536795934505</v>
      </c>
      <c r="Q38">
        <f t="shared" si="1"/>
        <v>24.449459999999998</v>
      </c>
      <c r="R38">
        <f t="shared" si="3"/>
        <v>24.413520000000002</v>
      </c>
    </row>
    <row r="39" spans="1:18" x14ac:dyDescent="0.3">
      <c r="A39" t="s">
        <v>43</v>
      </c>
      <c r="B39" t="s">
        <v>442</v>
      </c>
      <c r="C39" s="1" t="s">
        <v>256</v>
      </c>
      <c r="D39" s="2" t="s">
        <v>257</v>
      </c>
      <c r="E39" s="2" t="s">
        <v>258</v>
      </c>
      <c r="F39" s="2">
        <v>24.43149</v>
      </c>
      <c r="G39" s="2">
        <v>-81.930269999999993</v>
      </c>
      <c r="H39" s="1">
        <v>-227</v>
      </c>
      <c r="I39" s="2">
        <v>48</v>
      </c>
      <c r="J39" s="1" t="s">
        <v>145</v>
      </c>
      <c r="K39" t="s">
        <v>246</v>
      </c>
      <c r="L39" t="s">
        <v>381</v>
      </c>
      <c r="M39">
        <v>1.797E-2</v>
      </c>
      <c r="N39">
        <f t="shared" si="4"/>
        <v>1.9733204065492532E-2</v>
      </c>
      <c r="O39">
        <f t="shared" si="2"/>
        <v>-81.950003204065482</v>
      </c>
      <c r="P39">
        <f t="shared" si="0"/>
        <v>-81.910536795934505</v>
      </c>
      <c r="Q39">
        <f t="shared" si="1"/>
        <v>24.449459999999998</v>
      </c>
      <c r="R39">
        <f t="shared" si="3"/>
        <v>24.413520000000002</v>
      </c>
    </row>
    <row r="40" spans="1:18" x14ac:dyDescent="0.3">
      <c r="A40" t="s">
        <v>43</v>
      </c>
      <c r="B40" t="s">
        <v>443</v>
      </c>
      <c r="C40" s="1" t="s">
        <v>106</v>
      </c>
      <c r="D40" s="2" t="s">
        <v>107</v>
      </c>
      <c r="E40" s="2" t="s">
        <v>108</v>
      </c>
      <c r="F40" s="2">
        <v>24.45778</v>
      </c>
      <c r="G40" s="2">
        <v>-81.843369999999993</v>
      </c>
      <c r="H40" s="1">
        <v>-13</v>
      </c>
      <c r="I40" s="2">
        <v>48</v>
      </c>
      <c r="J40" s="1" t="s">
        <v>259</v>
      </c>
      <c r="K40" t="s">
        <v>246</v>
      </c>
      <c r="L40" t="s">
        <v>382</v>
      </c>
      <c r="M40">
        <v>1.797E-2</v>
      </c>
      <c r="N40">
        <f t="shared" si="4"/>
        <v>1.9737320316667369E-2</v>
      </c>
      <c r="O40">
        <f t="shared" si="2"/>
        <v>-81.863107320316658</v>
      </c>
      <c r="P40">
        <f t="shared" si="0"/>
        <v>-81.823632679683328</v>
      </c>
      <c r="Q40">
        <f t="shared" si="1"/>
        <v>24.475749999999998</v>
      </c>
      <c r="R40">
        <f t="shared" si="3"/>
        <v>24.439810000000001</v>
      </c>
    </row>
    <row r="41" spans="1:18" x14ac:dyDescent="0.3">
      <c r="A41" t="s">
        <v>43</v>
      </c>
      <c r="B41" t="s">
        <v>443</v>
      </c>
      <c r="C41" s="1" t="s">
        <v>260</v>
      </c>
      <c r="D41" s="2" t="s">
        <v>261</v>
      </c>
      <c r="E41" s="2" t="s">
        <v>262</v>
      </c>
      <c r="F41" s="2">
        <v>24.45778</v>
      </c>
      <c r="G41" s="2">
        <v>-81.843369999999993</v>
      </c>
      <c r="H41" s="1">
        <v>-12</v>
      </c>
      <c r="I41" s="2">
        <v>48</v>
      </c>
      <c r="J41" s="1" t="s">
        <v>145</v>
      </c>
      <c r="K41" t="s">
        <v>246</v>
      </c>
      <c r="L41" t="s">
        <v>382</v>
      </c>
      <c r="M41">
        <v>1.797E-2</v>
      </c>
      <c r="N41">
        <f t="shared" si="4"/>
        <v>1.9737320316667369E-2</v>
      </c>
      <c r="O41">
        <f t="shared" si="2"/>
        <v>-81.863107320316658</v>
      </c>
      <c r="P41">
        <f t="shared" si="0"/>
        <v>-81.823632679683328</v>
      </c>
      <c r="Q41">
        <f t="shared" si="1"/>
        <v>24.475749999999998</v>
      </c>
      <c r="R41">
        <f t="shared" si="3"/>
        <v>24.439810000000001</v>
      </c>
    </row>
    <row r="42" spans="1:18" x14ac:dyDescent="0.3">
      <c r="A42" t="s">
        <v>43</v>
      </c>
      <c r="B42" t="s">
        <v>443</v>
      </c>
      <c r="C42" s="1" t="s">
        <v>263</v>
      </c>
      <c r="D42" s="2" t="s">
        <v>264</v>
      </c>
      <c r="E42" s="2" t="s">
        <v>265</v>
      </c>
      <c r="F42" s="2">
        <v>24.45778</v>
      </c>
      <c r="G42" s="2">
        <v>-81.843369999999993</v>
      </c>
      <c r="H42" s="1">
        <v>-12</v>
      </c>
      <c r="I42" s="2">
        <v>48</v>
      </c>
      <c r="J42" s="1" t="s">
        <v>266</v>
      </c>
      <c r="K42" t="s">
        <v>246</v>
      </c>
      <c r="L42" t="s">
        <v>382</v>
      </c>
      <c r="M42">
        <v>1.797E-2</v>
      </c>
      <c r="N42">
        <f t="shared" si="4"/>
        <v>1.9737320316667369E-2</v>
      </c>
      <c r="O42">
        <f t="shared" si="2"/>
        <v>-81.863107320316658</v>
      </c>
      <c r="P42">
        <f t="shared" si="0"/>
        <v>-81.823632679683328</v>
      </c>
      <c r="Q42">
        <f t="shared" si="1"/>
        <v>24.475749999999998</v>
      </c>
      <c r="R42">
        <f t="shared" si="3"/>
        <v>24.439810000000001</v>
      </c>
    </row>
    <row r="43" spans="1:18" x14ac:dyDescent="0.3">
      <c r="A43" t="s">
        <v>43</v>
      </c>
      <c r="B43" t="s">
        <v>443</v>
      </c>
      <c r="C43" s="1" t="s">
        <v>493</v>
      </c>
      <c r="D43" s="2" t="s">
        <v>494</v>
      </c>
      <c r="E43" s="2" t="s">
        <v>495</v>
      </c>
      <c r="F43" s="2">
        <v>24.45778</v>
      </c>
      <c r="G43" s="2">
        <v>-81.843369999999993</v>
      </c>
      <c r="H43" s="1">
        <v>-12</v>
      </c>
      <c r="I43" s="2">
        <v>48</v>
      </c>
      <c r="J43" s="1" t="s">
        <v>266</v>
      </c>
      <c r="K43" t="s">
        <v>246</v>
      </c>
      <c r="L43" t="s">
        <v>382</v>
      </c>
      <c r="M43">
        <v>1.797E-2</v>
      </c>
      <c r="N43">
        <f t="shared" si="4"/>
        <v>1.9737320316667369E-2</v>
      </c>
      <c r="O43">
        <f t="shared" si="2"/>
        <v>-81.863107320316658</v>
      </c>
      <c r="P43">
        <f t="shared" si="0"/>
        <v>-81.823632679683328</v>
      </c>
      <c r="Q43">
        <f t="shared" si="1"/>
        <v>24.475749999999998</v>
      </c>
      <c r="R43">
        <f t="shared" si="3"/>
        <v>24.439810000000001</v>
      </c>
    </row>
    <row r="44" spans="1:18" x14ac:dyDescent="0.3">
      <c r="A44" t="s">
        <v>43</v>
      </c>
      <c r="B44" t="s">
        <v>451</v>
      </c>
      <c r="C44" s="1" t="s">
        <v>109</v>
      </c>
      <c r="D44" s="2" t="s">
        <v>108</v>
      </c>
      <c r="E44" s="2" t="s">
        <v>110</v>
      </c>
      <c r="F44" s="2">
        <v>24.450320000000001</v>
      </c>
      <c r="G44" s="2">
        <v>-81.878240000000005</v>
      </c>
      <c r="H44" s="1">
        <v>-22</v>
      </c>
      <c r="I44" s="2">
        <v>48</v>
      </c>
      <c r="J44" s="1" t="s">
        <v>266</v>
      </c>
      <c r="K44" t="s">
        <v>246</v>
      </c>
      <c r="L44" t="s">
        <v>383</v>
      </c>
      <c r="M44">
        <v>1.797E-2</v>
      </c>
      <c r="N44">
        <f t="shared" si="4"/>
        <v>1.9736151700358775E-2</v>
      </c>
      <c r="O44">
        <f t="shared" si="2"/>
        <v>-81.897976151700362</v>
      </c>
      <c r="P44">
        <f t="shared" si="0"/>
        <v>-81.858503848299648</v>
      </c>
      <c r="Q44">
        <f t="shared" si="1"/>
        <v>24.46829</v>
      </c>
      <c r="R44">
        <f t="shared" si="3"/>
        <v>24.432350000000003</v>
      </c>
    </row>
    <row r="45" spans="1:18" x14ac:dyDescent="0.3">
      <c r="A45" t="s">
        <v>43</v>
      </c>
      <c r="B45" t="s">
        <v>444</v>
      </c>
      <c r="C45" s="1" t="s">
        <v>142</v>
      </c>
      <c r="D45" s="2" t="s">
        <v>143</v>
      </c>
      <c r="E45" s="2" t="s">
        <v>144</v>
      </c>
      <c r="F45" s="2">
        <v>28.1661</v>
      </c>
      <c r="G45" s="2">
        <v>-94.296499999999995</v>
      </c>
      <c r="H45" s="1">
        <v>-23</v>
      </c>
      <c r="I45" s="2">
        <v>48</v>
      </c>
      <c r="J45" s="1" t="s">
        <v>145</v>
      </c>
      <c r="K45" t="s">
        <v>246</v>
      </c>
      <c r="L45" t="s">
        <v>384</v>
      </c>
      <c r="M45">
        <v>1.797E-2</v>
      </c>
      <c r="N45">
        <f t="shared" si="4"/>
        <v>2.0379505656765613E-2</v>
      </c>
      <c r="O45">
        <f t="shared" si="2"/>
        <v>-94.316879505656757</v>
      </c>
      <c r="P45">
        <f t="shared" si="0"/>
        <v>-94.276120494343232</v>
      </c>
      <c r="Q45">
        <f t="shared" si="1"/>
        <v>28.184069999999998</v>
      </c>
      <c r="R45">
        <f t="shared" si="3"/>
        <v>28.148130000000002</v>
      </c>
    </row>
    <row r="46" spans="1:18" x14ac:dyDescent="0.3">
      <c r="A46" t="s">
        <v>43</v>
      </c>
      <c r="B46" t="s">
        <v>444</v>
      </c>
      <c r="C46" s="1" t="s">
        <v>267</v>
      </c>
      <c r="D46" s="2" t="s">
        <v>268</v>
      </c>
      <c r="E46" s="2" t="s">
        <v>269</v>
      </c>
      <c r="F46" s="2">
        <v>28.1661</v>
      </c>
      <c r="G46" s="2">
        <v>-94.296499999999995</v>
      </c>
      <c r="H46" s="1">
        <v>-22</v>
      </c>
      <c r="I46" s="2">
        <v>48</v>
      </c>
      <c r="J46" s="1" t="s">
        <v>266</v>
      </c>
      <c r="K46" t="s">
        <v>246</v>
      </c>
      <c r="L46" t="s">
        <v>384</v>
      </c>
      <c r="M46">
        <v>1.797E-2</v>
      </c>
      <c r="N46">
        <f t="shared" si="4"/>
        <v>2.0379505656765613E-2</v>
      </c>
      <c r="O46">
        <f t="shared" si="2"/>
        <v>-94.316879505656757</v>
      </c>
      <c r="P46">
        <f t="shared" si="0"/>
        <v>-94.276120494343232</v>
      </c>
      <c r="Q46">
        <f t="shared" si="1"/>
        <v>28.184069999999998</v>
      </c>
      <c r="R46">
        <f t="shared" si="3"/>
        <v>28.148130000000002</v>
      </c>
    </row>
    <row r="47" spans="1:18" x14ac:dyDescent="0.3">
      <c r="A47" t="s">
        <v>43</v>
      </c>
      <c r="B47" t="s">
        <v>444</v>
      </c>
      <c r="C47" s="1" t="s">
        <v>270</v>
      </c>
      <c r="D47" s="2" t="s">
        <v>271</v>
      </c>
      <c r="E47" s="2" t="s">
        <v>272</v>
      </c>
      <c r="F47" s="2">
        <v>28.1661</v>
      </c>
      <c r="G47" s="2">
        <v>-94.296499999999995</v>
      </c>
      <c r="H47" s="1">
        <v>-22</v>
      </c>
      <c r="I47" s="2">
        <v>48</v>
      </c>
      <c r="J47" s="1" t="s">
        <v>266</v>
      </c>
      <c r="K47" t="s">
        <v>246</v>
      </c>
      <c r="L47" t="s">
        <v>384</v>
      </c>
      <c r="M47">
        <v>1.797E-2</v>
      </c>
      <c r="N47">
        <f t="shared" si="4"/>
        <v>2.0379505656765613E-2</v>
      </c>
      <c r="O47">
        <f t="shared" si="2"/>
        <v>-94.316879505656757</v>
      </c>
      <c r="P47">
        <f t="shared" si="0"/>
        <v>-94.276120494343232</v>
      </c>
      <c r="Q47">
        <f t="shared" si="1"/>
        <v>28.184069999999998</v>
      </c>
      <c r="R47">
        <f t="shared" si="3"/>
        <v>28.148130000000002</v>
      </c>
    </row>
    <row r="48" spans="1:18" x14ac:dyDescent="0.3">
      <c r="A48" t="s">
        <v>43</v>
      </c>
      <c r="B48" t="s">
        <v>445</v>
      </c>
      <c r="C48" s="1" t="s">
        <v>158</v>
      </c>
      <c r="D48" s="2" t="s">
        <v>159</v>
      </c>
      <c r="E48" s="2" t="s">
        <v>160</v>
      </c>
      <c r="F48" s="2">
        <v>33.848149999999997</v>
      </c>
      <c r="G48" s="2">
        <v>-120.11631</v>
      </c>
      <c r="H48" s="1">
        <v>-148.5</v>
      </c>
      <c r="I48" s="2">
        <v>48</v>
      </c>
      <c r="J48" s="1" t="s">
        <v>161</v>
      </c>
      <c r="K48" t="s">
        <v>246</v>
      </c>
      <c r="L48" t="s">
        <v>386</v>
      </c>
      <c r="M48">
        <v>1.797E-2</v>
      </c>
      <c r="N48">
        <f t="shared" si="4"/>
        <v>2.1632586036208688E-2</v>
      </c>
      <c r="O48">
        <f t="shared" si="2"/>
        <v>-120.1379425860362</v>
      </c>
      <c r="P48">
        <f t="shared" si="0"/>
        <v>-120.09467741396379</v>
      </c>
      <c r="Q48">
        <f t="shared" si="1"/>
        <v>33.866119999999995</v>
      </c>
      <c r="R48">
        <f t="shared" si="3"/>
        <v>33.830179999999999</v>
      </c>
    </row>
    <row r="49" spans="1:18" x14ac:dyDescent="0.3">
      <c r="A49" t="s">
        <v>43</v>
      </c>
      <c r="B49" t="s">
        <v>445</v>
      </c>
      <c r="C49" s="1" t="s">
        <v>273</v>
      </c>
      <c r="D49" s="2" t="s">
        <v>274</v>
      </c>
      <c r="E49" s="2" t="s">
        <v>275</v>
      </c>
      <c r="F49" s="2">
        <v>33.847999999999999</v>
      </c>
      <c r="G49" s="2">
        <v>-120.11620000000001</v>
      </c>
      <c r="H49" s="1">
        <v>-147.5</v>
      </c>
      <c r="I49" s="2">
        <v>48</v>
      </c>
      <c r="J49" s="1" t="s">
        <v>145</v>
      </c>
      <c r="K49" t="s">
        <v>246</v>
      </c>
      <c r="L49" t="s">
        <v>385</v>
      </c>
      <c r="M49">
        <v>1.797E-2</v>
      </c>
      <c r="N49">
        <f t="shared" si="4"/>
        <v>2.1632548054243944E-2</v>
      </c>
      <c r="O49">
        <f t="shared" si="2"/>
        <v>-120.13783254805425</v>
      </c>
      <c r="P49">
        <f t="shared" si="0"/>
        <v>-120.09456745194576</v>
      </c>
      <c r="Q49">
        <f t="shared" si="1"/>
        <v>33.865969999999997</v>
      </c>
      <c r="R49">
        <f t="shared" si="3"/>
        <v>33.830030000000001</v>
      </c>
    </row>
    <row r="50" spans="1:18" x14ac:dyDescent="0.3">
      <c r="A50" t="s">
        <v>43</v>
      </c>
      <c r="B50" t="s">
        <v>446</v>
      </c>
      <c r="C50" s="1" t="s">
        <v>164</v>
      </c>
      <c r="D50" s="2" t="s">
        <v>165</v>
      </c>
      <c r="E50" s="2" t="s">
        <v>166</v>
      </c>
      <c r="F50" s="2">
        <v>34.043579999999999</v>
      </c>
      <c r="G50" s="2">
        <v>-120.08035</v>
      </c>
      <c r="H50" s="1">
        <v>-14.5</v>
      </c>
      <c r="I50" s="2">
        <v>48</v>
      </c>
      <c r="J50" s="1" t="s">
        <v>145</v>
      </c>
      <c r="K50" t="s">
        <v>246</v>
      </c>
      <c r="L50" t="s">
        <v>388</v>
      </c>
      <c r="M50">
        <v>1.797E-2</v>
      </c>
      <c r="N50">
        <f t="shared" si="4"/>
        <v>2.1682311436886731E-2</v>
      </c>
      <c r="O50">
        <f t="shared" si="2"/>
        <v>-120.10203231143689</v>
      </c>
      <c r="P50">
        <f t="shared" si="0"/>
        <v>-120.05866768856311</v>
      </c>
      <c r="Q50">
        <f t="shared" si="1"/>
        <v>34.061549999999997</v>
      </c>
      <c r="R50">
        <f t="shared" si="3"/>
        <v>34.02561</v>
      </c>
    </row>
    <row r="51" spans="1:18" x14ac:dyDescent="0.3">
      <c r="A51" t="s">
        <v>43</v>
      </c>
      <c r="B51" t="s">
        <v>446</v>
      </c>
      <c r="C51" s="1" t="s">
        <v>276</v>
      </c>
      <c r="D51" s="2" t="s">
        <v>277</v>
      </c>
      <c r="E51" s="2" t="s">
        <v>278</v>
      </c>
      <c r="F51" s="2">
        <v>34.043599999999998</v>
      </c>
      <c r="G51" s="2">
        <v>-120.0804</v>
      </c>
      <c r="H51" s="1">
        <v>-19</v>
      </c>
      <c r="I51" s="2">
        <v>48</v>
      </c>
      <c r="J51" s="1" t="s">
        <v>145</v>
      </c>
      <c r="K51" t="s">
        <v>246</v>
      </c>
      <c r="L51" t="s">
        <v>387</v>
      </c>
      <c r="M51">
        <v>1.797E-2</v>
      </c>
      <c r="N51">
        <f t="shared" si="4"/>
        <v>2.168231655032387E-2</v>
      </c>
      <c r="O51">
        <f t="shared" si="2"/>
        <v>-120.10208231655032</v>
      </c>
      <c r="P51">
        <f t="shared" si="0"/>
        <v>-120.05871768344967</v>
      </c>
      <c r="Q51">
        <f t="shared" si="1"/>
        <v>34.061569999999996</v>
      </c>
      <c r="R51">
        <f t="shared" si="3"/>
        <v>34.02563</v>
      </c>
    </row>
    <row r="52" spans="1:18" x14ac:dyDescent="0.3">
      <c r="A52" t="s">
        <v>43</v>
      </c>
      <c r="B52" t="s">
        <v>452</v>
      </c>
      <c r="C52" s="1" t="s">
        <v>170</v>
      </c>
      <c r="D52" s="2" t="s">
        <v>171</v>
      </c>
      <c r="E52" s="2" t="s">
        <v>172</v>
      </c>
      <c r="F52" s="2">
        <v>36.370269999999998</v>
      </c>
      <c r="G52" s="2">
        <v>-122.31482</v>
      </c>
      <c r="H52" s="1">
        <v>-838</v>
      </c>
      <c r="I52" s="2">
        <v>200</v>
      </c>
      <c r="J52" s="1" t="s">
        <v>129</v>
      </c>
      <c r="K52" t="s">
        <v>246</v>
      </c>
      <c r="L52" t="s">
        <v>389</v>
      </c>
      <c r="M52">
        <v>1.797E-2</v>
      </c>
      <c r="N52">
        <f t="shared" si="4"/>
        <v>2.2312702019793417E-2</v>
      </c>
      <c r="O52">
        <f t="shared" si="2"/>
        <v>-122.33713270201979</v>
      </c>
      <c r="P52">
        <f t="shared" si="0"/>
        <v>-122.29250729798021</v>
      </c>
      <c r="Q52">
        <f t="shared" si="1"/>
        <v>36.388239999999996</v>
      </c>
      <c r="R52">
        <f t="shared" si="3"/>
        <v>36.3523</v>
      </c>
    </row>
    <row r="53" spans="1:18" x14ac:dyDescent="0.3">
      <c r="A53" t="s">
        <v>43</v>
      </c>
      <c r="B53" t="s">
        <v>447</v>
      </c>
      <c r="C53" s="1" t="s">
        <v>173</v>
      </c>
      <c r="D53" s="2" t="s">
        <v>174</v>
      </c>
      <c r="E53" s="2" t="s">
        <v>175</v>
      </c>
      <c r="F53" s="2">
        <v>36.648000000000003</v>
      </c>
      <c r="G53" s="2">
        <v>-121.90770000000001</v>
      </c>
      <c r="H53" s="1">
        <v>-72</v>
      </c>
      <c r="I53" s="2">
        <v>48</v>
      </c>
      <c r="J53" s="1" t="s">
        <v>145</v>
      </c>
      <c r="K53" t="s">
        <v>246</v>
      </c>
      <c r="L53" t="s">
        <v>390</v>
      </c>
      <c r="M53">
        <v>1.797E-2</v>
      </c>
      <c r="N53">
        <f t="shared" si="4"/>
        <v>2.2392904294351489E-2</v>
      </c>
      <c r="O53">
        <f t="shared" si="2"/>
        <v>-121.93009290429436</v>
      </c>
      <c r="P53">
        <f t="shared" si="0"/>
        <v>-121.88530709570566</v>
      </c>
      <c r="Q53">
        <f t="shared" si="1"/>
        <v>36.665970000000002</v>
      </c>
      <c r="R53">
        <f t="shared" si="3"/>
        <v>36.630030000000005</v>
      </c>
    </row>
    <row r="54" spans="1:18" x14ac:dyDescent="0.3">
      <c r="A54" t="s">
        <v>43</v>
      </c>
      <c r="B54" t="s">
        <v>447</v>
      </c>
      <c r="C54" s="1" t="s">
        <v>279</v>
      </c>
      <c r="D54" s="2" t="s">
        <v>174</v>
      </c>
      <c r="E54" s="2" t="s">
        <v>280</v>
      </c>
      <c r="F54" s="2">
        <v>36.648099999999999</v>
      </c>
      <c r="G54" s="2">
        <v>-121.9079</v>
      </c>
      <c r="H54" s="1">
        <v>-72</v>
      </c>
      <c r="I54" s="2">
        <v>48</v>
      </c>
      <c r="J54" s="1" t="s">
        <v>145</v>
      </c>
      <c r="K54" t="s">
        <v>246</v>
      </c>
      <c r="L54" t="s">
        <v>390</v>
      </c>
      <c r="M54">
        <v>1.797E-2</v>
      </c>
      <c r="N54">
        <f t="shared" si="4"/>
        <v>2.2392933370846649E-2</v>
      </c>
      <c r="O54">
        <f t="shared" si="2"/>
        <v>-121.93029293337085</v>
      </c>
      <c r="P54">
        <f t="shared" si="0"/>
        <v>-121.88550706662915</v>
      </c>
      <c r="Q54">
        <f t="shared" si="1"/>
        <v>36.666069999999998</v>
      </c>
      <c r="R54">
        <f t="shared" si="3"/>
        <v>36.630130000000001</v>
      </c>
    </row>
    <row r="55" spans="1:18" x14ac:dyDescent="0.3">
      <c r="A55" t="s">
        <v>43</v>
      </c>
      <c r="B55" t="s">
        <v>448</v>
      </c>
      <c r="C55" s="1" t="s">
        <v>176</v>
      </c>
      <c r="D55" s="2" t="s">
        <v>177</v>
      </c>
      <c r="E55" s="2" t="s">
        <v>178</v>
      </c>
      <c r="F55" s="2">
        <v>36.798400000000001</v>
      </c>
      <c r="G55" s="2">
        <v>-121.97580000000001</v>
      </c>
      <c r="H55" s="1">
        <v>-112.5</v>
      </c>
      <c r="I55" s="2">
        <v>48</v>
      </c>
      <c r="J55" s="1" t="s">
        <v>145</v>
      </c>
      <c r="K55" t="s">
        <v>246</v>
      </c>
      <c r="L55" t="s">
        <v>391</v>
      </c>
      <c r="M55">
        <v>1.797E-2</v>
      </c>
      <c r="N55">
        <f t="shared" si="4"/>
        <v>2.2436798205051702E-2</v>
      </c>
      <c r="O55">
        <f t="shared" si="2"/>
        <v>-121.99823679820506</v>
      </c>
      <c r="P55">
        <f t="shared" si="0"/>
        <v>-121.95336320179496</v>
      </c>
      <c r="Q55">
        <f t="shared" si="1"/>
        <v>36.816369999999999</v>
      </c>
      <c r="R55">
        <f t="shared" si="3"/>
        <v>36.780430000000003</v>
      </c>
    </row>
    <row r="56" spans="1:18" x14ac:dyDescent="0.3">
      <c r="A56" t="s">
        <v>43</v>
      </c>
      <c r="B56" t="s">
        <v>448</v>
      </c>
      <c r="C56" s="1" t="s">
        <v>281</v>
      </c>
      <c r="D56" s="2" t="s">
        <v>282</v>
      </c>
      <c r="E56" s="2" t="s">
        <v>283</v>
      </c>
      <c r="F56" s="2">
        <v>36.798000000000002</v>
      </c>
      <c r="G56" s="2">
        <v>-121.9759</v>
      </c>
      <c r="H56" s="1">
        <v>-115.5</v>
      </c>
      <c r="I56" s="2">
        <v>48</v>
      </c>
      <c r="J56" s="1" t="s">
        <v>145</v>
      </c>
      <c r="K56" t="s">
        <v>246</v>
      </c>
      <c r="L56" t="s">
        <v>391</v>
      </c>
      <c r="M56">
        <v>1.797E-2</v>
      </c>
      <c r="N56">
        <f t="shared" si="4"/>
        <v>2.2436681032537195E-2</v>
      </c>
      <c r="O56">
        <f t="shared" si="2"/>
        <v>-121.99833668103253</v>
      </c>
      <c r="P56">
        <f t="shared" si="0"/>
        <v>-121.95346331896747</v>
      </c>
      <c r="Q56">
        <f t="shared" si="1"/>
        <v>36.81597</v>
      </c>
      <c r="R56">
        <f t="shared" si="3"/>
        <v>36.780030000000004</v>
      </c>
    </row>
    <row r="57" spans="1:18" x14ac:dyDescent="0.3">
      <c r="A57" t="s">
        <v>43</v>
      </c>
      <c r="B57" t="s">
        <v>453</v>
      </c>
      <c r="C57" s="1" t="s">
        <v>190</v>
      </c>
      <c r="D57" s="2" t="s">
        <v>191</v>
      </c>
      <c r="E57" s="2" t="s">
        <v>192</v>
      </c>
      <c r="F57" s="2">
        <v>47.317500000000003</v>
      </c>
      <c r="G57" s="2">
        <v>-124.41459999999999</v>
      </c>
      <c r="H57" s="1">
        <v>-33.5</v>
      </c>
      <c r="I57" s="2">
        <v>48</v>
      </c>
      <c r="J57" s="1" t="s">
        <v>193</v>
      </c>
      <c r="K57" t="s">
        <v>246</v>
      </c>
      <c r="L57" t="s">
        <v>394</v>
      </c>
      <c r="M57">
        <v>1.797E-2</v>
      </c>
      <c r="N57">
        <f t="shared" si="4"/>
        <v>2.6501388715467655E-2</v>
      </c>
      <c r="O57">
        <f t="shared" si="2"/>
        <v>-124.44110138871547</v>
      </c>
      <c r="P57">
        <f t="shared" si="0"/>
        <v>-124.38809861128452</v>
      </c>
      <c r="Q57">
        <f t="shared" si="1"/>
        <v>47.335470000000001</v>
      </c>
      <c r="R57">
        <f t="shared" si="3"/>
        <v>47.299530000000004</v>
      </c>
    </row>
    <row r="58" spans="1:18" x14ac:dyDescent="0.3">
      <c r="A58" t="s">
        <v>43</v>
      </c>
      <c r="B58" t="s">
        <v>454</v>
      </c>
      <c r="C58" s="1" t="s">
        <v>208</v>
      </c>
      <c r="D58" s="2" t="s">
        <v>209</v>
      </c>
      <c r="E58" s="2" t="s">
        <v>210</v>
      </c>
      <c r="F58" s="2">
        <v>20.076550000000001</v>
      </c>
      <c r="G58" s="2">
        <v>-155.87108000000001</v>
      </c>
      <c r="H58" s="1">
        <v>-60.7</v>
      </c>
      <c r="I58" s="2">
        <v>48</v>
      </c>
      <c r="J58" s="1" t="s">
        <v>145</v>
      </c>
      <c r="K58" t="s">
        <v>246</v>
      </c>
      <c r="L58" t="s">
        <v>393</v>
      </c>
      <c r="M58">
        <v>1.797E-2</v>
      </c>
      <c r="N58">
        <f t="shared" si="4"/>
        <v>1.9128574660208439E-2</v>
      </c>
      <c r="O58">
        <f t="shared" si="2"/>
        <v>-155.89020857466022</v>
      </c>
      <c r="P58">
        <f t="shared" si="0"/>
        <v>-155.85195142533979</v>
      </c>
      <c r="Q58">
        <f t="shared" si="1"/>
        <v>20.094519999999999</v>
      </c>
      <c r="R58">
        <f t="shared" si="3"/>
        <v>20.058580000000003</v>
      </c>
    </row>
    <row r="59" spans="1:18" x14ac:dyDescent="0.3">
      <c r="A59" t="s">
        <v>43</v>
      </c>
      <c r="B59" t="s">
        <v>449</v>
      </c>
      <c r="C59" s="1" t="s">
        <v>211</v>
      </c>
      <c r="D59" s="2" t="s">
        <v>212</v>
      </c>
      <c r="E59" s="2" t="s">
        <v>213</v>
      </c>
      <c r="F59" s="2">
        <v>20.806139999999999</v>
      </c>
      <c r="G59" s="2">
        <v>-156.65530999999999</v>
      </c>
      <c r="H59" s="1">
        <v>-58.5</v>
      </c>
      <c r="I59" s="2">
        <v>48</v>
      </c>
      <c r="J59" s="1" t="s">
        <v>145</v>
      </c>
      <c r="K59" t="s">
        <v>246</v>
      </c>
      <c r="L59" t="s">
        <v>392</v>
      </c>
      <c r="M59">
        <v>1.797E-2</v>
      </c>
      <c r="N59">
        <f t="shared" si="4"/>
        <v>1.9219577987887589E-2</v>
      </c>
      <c r="O59">
        <f t="shared" si="2"/>
        <v>-156.67452957798787</v>
      </c>
      <c r="P59">
        <f t="shared" si="0"/>
        <v>-156.6360904220121</v>
      </c>
      <c r="Q59">
        <f t="shared" si="1"/>
        <v>20.824109999999997</v>
      </c>
      <c r="R59">
        <f t="shared" si="3"/>
        <v>20.788170000000001</v>
      </c>
    </row>
    <row r="60" spans="1:18" x14ac:dyDescent="0.3">
      <c r="A60" t="s">
        <v>43</v>
      </c>
      <c r="B60" t="s">
        <v>455</v>
      </c>
      <c r="C60" s="1" t="s">
        <v>214</v>
      </c>
      <c r="D60" s="2" t="s">
        <v>215</v>
      </c>
      <c r="E60" s="2" t="s">
        <v>216</v>
      </c>
      <c r="F60" s="2">
        <v>21.28538</v>
      </c>
      <c r="G60" s="2">
        <v>-157.59987000000001</v>
      </c>
      <c r="H60" s="1">
        <v>-68.099999999999994</v>
      </c>
      <c r="I60" s="2">
        <v>48</v>
      </c>
      <c r="J60" s="1" t="s">
        <v>145</v>
      </c>
      <c r="K60" t="s">
        <v>246</v>
      </c>
      <c r="L60" t="s">
        <v>395</v>
      </c>
      <c r="M60">
        <v>1.797E-2</v>
      </c>
      <c r="N60">
        <f t="shared" si="4"/>
        <v>1.9281534860078713E-2</v>
      </c>
      <c r="O60">
        <f t="shared" si="2"/>
        <v>-157.61915153486009</v>
      </c>
      <c r="P60">
        <f t="shared" si="0"/>
        <v>-157.58058846513993</v>
      </c>
      <c r="Q60">
        <f t="shared" si="1"/>
        <v>21.303349999999998</v>
      </c>
      <c r="R60">
        <f t="shared" si="3"/>
        <v>21.267410000000002</v>
      </c>
    </row>
    <row r="61" spans="1:18" x14ac:dyDescent="0.3">
      <c r="A61" t="s">
        <v>43</v>
      </c>
      <c r="B61" t="s">
        <v>450</v>
      </c>
      <c r="C61" s="1" t="s">
        <v>218</v>
      </c>
      <c r="D61" s="2" t="s">
        <v>219</v>
      </c>
      <c r="E61" s="2" t="s">
        <v>220</v>
      </c>
      <c r="F61" s="2">
        <v>22.263470000000002</v>
      </c>
      <c r="G61" s="2">
        <v>-159.58638999999999</v>
      </c>
      <c r="H61" s="1">
        <v>-77</v>
      </c>
      <c r="I61" s="2">
        <v>48</v>
      </c>
      <c r="J61" s="1" t="s">
        <v>145</v>
      </c>
      <c r="K61" t="s">
        <v>246</v>
      </c>
      <c r="L61" t="s">
        <v>396</v>
      </c>
      <c r="M61">
        <v>1.797E-2</v>
      </c>
      <c r="N61">
        <f t="shared" si="4"/>
        <v>1.9413469297686749E-2</v>
      </c>
      <c r="O61">
        <f t="shared" si="2"/>
        <v>-159.60580346929768</v>
      </c>
      <c r="P61">
        <f t="shared" si="0"/>
        <v>-159.56697653070231</v>
      </c>
      <c r="Q61">
        <f t="shared" si="1"/>
        <v>22.28144</v>
      </c>
      <c r="R61">
        <f t="shared" si="3"/>
        <v>22.245500000000003</v>
      </c>
    </row>
    <row r="62" spans="1:18" x14ac:dyDescent="0.3">
      <c r="A62" t="s">
        <v>43</v>
      </c>
      <c r="B62" t="s">
        <v>450</v>
      </c>
      <c r="C62" s="1" t="s">
        <v>284</v>
      </c>
      <c r="D62" s="2" t="s">
        <v>285</v>
      </c>
      <c r="E62" s="2" t="s">
        <v>286</v>
      </c>
      <c r="F62" s="2">
        <v>22.263470000000002</v>
      </c>
      <c r="G62" s="2">
        <v>-159.58638999999999</v>
      </c>
      <c r="H62" s="1">
        <v>-75.8</v>
      </c>
      <c r="I62" s="2">
        <v>48</v>
      </c>
      <c r="J62" s="1" t="s">
        <v>145</v>
      </c>
      <c r="K62" t="s">
        <v>246</v>
      </c>
      <c r="L62" t="s">
        <v>396</v>
      </c>
      <c r="M62">
        <v>1.797E-2</v>
      </c>
      <c r="N62">
        <f t="shared" si="4"/>
        <v>1.9413469297686749E-2</v>
      </c>
      <c r="O62">
        <f t="shared" si="2"/>
        <v>-159.60580346929768</v>
      </c>
      <c r="P62">
        <f t="shared" ref="P62:P117" si="5">G62+N62</f>
        <v>-159.56697653070231</v>
      </c>
      <c r="Q62">
        <f t="shared" ref="Q62:Q117" si="6">F62+M62</f>
        <v>22.28144</v>
      </c>
      <c r="R62">
        <f t="shared" si="3"/>
        <v>22.245500000000003</v>
      </c>
    </row>
    <row r="63" spans="1:18" x14ac:dyDescent="0.3">
      <c r="A63" t="s">
        <v>43</v>
      </c>
      <c r="B63" t="s">
        <v>456</v>
      </c>
      <c r="C63" s="1" t="s">
        <v>221</v>
      </c>
      <c r="D63" s="2" t="s">
        <v>222</v>
      </c>
      <c r="E63" s="2" t="s">
        <v>223</v>
      </c>
      <c r="F63" s="2">
        <v>22.66226</v>
      </c>
      <c r="G63" s="2">
        <v>-161.04203000000001</v>
      </c>
      <c r="H63" s="1">
        <v>-54.9</v>
      </c>
      <c r="I63" s="2">
        <v>48</v>
      </c>
      <c r="J63" s="1" t="s">
        <v>145</v>
      </c>
      <c r="K63" t="s">
        <v>246</v>
      </c>
      <c r="L63" t="s">
        <v>397</v>
      </c>
      <c r="M63">
        <v>1.797E-2</v>
      </c>
      <c r="N63">
        <f t="shared" si="4"/>
        <v>1.9469416649274197E-2</v>
      </c>
      <c r="O63">
        <f t="shared" ref="O63:O117" si="7">G63-N63</f>
        <v>-161.0614994166493</v>
      </c>
      <c r="P63">
        <f t="shared" si="5"/>
        <v>-161.02256058335072</v>
      </c>
      <c r="Q63">
        <f t="shared" si="6"/>
        <v>22.680229999999998</v>
      </c>
      <c r="R63">
        <f t="shared" si="3"/>
        <v>22.644290000000002</v>
      </c>
    </row>
    <row r="64" spans="1:18" x14ac:dyDescent="0.3">
      <c r="A64" t="s">
        <v>43</v>
      </c>
      <c r="B64" t="s">
        <v>457</v>
      </c>
      <c r="C64" s="1" t="s">
        <v>224</v>
      </c>
      <c r="D64" s="2" t="s">
        <v>222</v>
      </c>
      <c r="E64" s="2" t="s">
        <v>225</v>
      </c>
      <c r="F64" s="2">
        <v>23.757919999999999</v>
      </c>
      <c r="G64" s="2">
        <v>-166.33477999999999</v>
      </c>
      <c r="H64" s="1">
        <v>-24.5</v>
      </c>
      <c r="I64" s="2">
        <v>48</v>
      </c>
      <c r="J64" s="1" t="s">
        <v>145</v>
      </c>
      <c r="K64" t="s">
        <v>246</v>
      </c>
      <c r="L64" t="s">
        <v>397</v>
      </c>
      <c r="M64">
        <v>1.797E-2</v>
      </c>
      <c r="N64">
        <f t="shared" si="4"/>
        <v>1.9629729225366013E-2</v>
      </c>
      <c r="O64">
        <f t="shared" si="7"/>
        <v>-166.35440972922535</v>
      </c>
      <c r="P64">
        <f t="shared" si="5"/>
        <v>-166.31515027077464</v>
      </c>
      <c r="Q64">
        <f t="shared" si="6"/>
        <v>23.775889999999997</v>
      </c>
      <c r="R64">
        <f t="shared" si="3"/>
        <v>23.73995</v>
      </c>
    </row>
    <row r="65" spans="1:18" x14ac:dyDescent="0.3">
      <c r="A65" t="s">
        <v>43</v>
      </c>
      <c r="B65" t="s">
        <v>458</v>
      </c>
      <c r="C65" s="1" t="s">
        <v>229</v>
      </c>
      <c r="D65" s="2" t="s">
        <v>230</v>
      </c>
      <c r="E65" s="2" t="s">
        <v>231</v>
      </c>
      <c r="F65" s="2">
        <v>-14.36565</v>
      </c>
      <c r="G65" s="2">
        <v>-170.76308</v>
      </c>
      <c r="H65" s="1">
        <v>-22.2</v>
      </c>
      <c r="I65" s="2">
        <v>48</v>
      </c>
      <c r="J65" s="1" t="s">
        <v>145</v>
      </c>
      <c r="K65" s="1"/>
      <c r="L65" t="s">
        <v>398</v>
      </c>
      <c r="M65">
        <v>1.797E-2</v>
      </c>
      <c r="N65">
        <f t="shared" si="4"/>
        <v>1.8546122130198704E-2</v>
      </c>
      <c r="O65">
        <f t="shared" si="7"/>
        <v>-170.78162612213021</v>
      </c>
      <c r="P65">
        <f t="shared" si="5"/>
        <v>-170.7445338778698</v>
      </c>
      <c r="Q65">
        <f t="shared" si="6"/>
        <v>-14.34768</v>
      </c>
      <c r="R65">
        <f t="shared" si="3"/>
        <v>-14.383620000000001</v>
      </c>
    </row>
    <row r="66" spans="1:18" x14ac:dyDescent="0.3">
      <c r="A66" t="s">
        <v>65</v>
      </c>
      <c r="B66" t="s">
        <v>459</v>
      </c>
      <c r="C66" s="1" t="s">
        <v>66</v>
      </c>
      <c r="D66" s="2" t="s">
        <v>67</v>
      </c>
      <c r="E66" s="2" t="s">
        <v>68</v>
      </c>
      <c r="F66" s="2">
        <v>37.246033330000003</v>
      </c>
      <c r="G66" s="2">
        <v>-74.514533</v>
      </c>
      <c r="H66" s="1">
        <v>-212</v>
      </c>
      <c r="I66" s="2">
        <v>512</v>
      </c>
      <c r="J66" s="1" t="s">
        <v>129</v>
      </c>
      <c r="K66" t="s">
        <v>246</v>
      </c>
      <c r="L66" t="s">
        <v>368</v>
      </c>
      <c r="M66">
        <v>1.797E-2</v>
      </c>
      <c r="N66">
        <f t="shared" si="4"/>
        <v>2.2569387648358266E-2</v>
      </c>
      <c r="O66">
        <f t="shared" si="7"/>
        <v>-74.53710238764836</v>
      </c>
      <c r="P66">
        <f t="shared" si="5"/>
        <v>-74.49196361235164</v>
      </c>
      <c r="Q66">
        <f t="shared" si="6"/>
        <v>37.264003330000001</v>
      </c>
      <c r="R66">
        <f t="shared" si="3"/>
        <v>37.228063330000005</v>
      </c>
    </row>
    <row r="67" spans="1:18" x14ac:dyDescent="0.3">
      <c r="A67" t="s">
        <v>65</v>
      </c>
      <c r="B67" t="s">
        <v>460</v>
      </c>
      <c r="C67" s="1" t="s">
        <v>78</v>
      </c>
      <c r="D67" s="2" t="s">
        <v>79</v>
      </c>
      <c r="E67" s="2" t="s">
        <v>80</v>
      </c>
      <c r="F67" s="2">
        <v>32.070149999999998</v>
      </c>
      <c r="G67" s="2">
        <v>-78.373999999999995</v>
      </c>
      <c r="H67" s="1">
        <v>-415</v>
      </c>
      <c r="I67" s="2">
        <v>512</v>
      </c>
      <c r="J67" s="1" t="s">
        <v>129</v>
      </c>
      <c r="K67" t="s">
        <v>246</v>
      </c>
      <c r="L67" t="s">
        <v>399</v>
      </c>
      <c r="M67">
        <v>1.797E-2</v>
      </c>
      <c r="N67">
        <f t="shared" si="4"/>
        <v>2.1201619092637347E-2</v>
      </c>
      <c r="O67">
        <f t="shared" si="7"/>
        <v>-78.395201619092632</v>
      </c>
      <c r="P67">
        <f t="shared" si="5"/>
        <v>-78.352798380907359</v>
      </c>
      <c r="Q67">
        <f t="shared" si="6"/>
        <v>32.088119999999996</v>
      </c>
      <c r="R67">
        <f t="shared" si="3"/>
        <v>32.05218</v>
      </c>
    </row>
    <row r="68" spans="1:18" x14ac:dyDescent="0.3">
      <c r="A68" t="s">
        <v>65</v>
      </c>
      <c r="B68" t="s">
        <v>461</v>
      </c>
      <c r="C68" s="1" t="s">
        <v>75</v>
      </c>
      <c r="D68" s="2" t="s">
        <v>76</v>
      </c>
      <c r="E68" s="2" t="s">
        <v>77</v>
      </c>
      <c r="F68" s="2">
        <v>32.041916000000001</v>
      </c>
      <c r="G68" s="2">
        <v>-77.3476</v>
      </c>
      <c r="H68" s="1">
        <v>-814</v>
      </c>
      <c r="I68" s="2">
        <v>512</v>
      </c>
      <c r="J68" s="1" t="s">
        <v>129</v>
      </c>
      <c r="K68" t="s">
        <v>246</v>
      </c>
      <c r="L68" t="s">
        <v>399</v>
      </c>
      <c r="M68">
        <v>1.797E-2</v>
      </c>
      <c r="N68">
        <f t="shared" si="4"/>
        <v>2.11950774671168E-2</v>
      </c>
      <c r="O68">
        <f t="shared" si="7"/>
        <v>-77.368795077467112</v>
      </c>
      <c r="P68">
        <f t="shared" si="5"/>
        <v>-77.326404922532888</v>
      </c>
      <c r="Q68">
        <f t="shared" si="6"/>
        <v>32.059885999999999</v>
      </c>
      <c r="R68">
        <f t="shared" si="3"/>
        <v>32.023946000000002</v>
      </c>
    </row>
    <row r="69" spans="1:18" x14ac:dyDescent="0.3">
      <c r="A69" t="s">
        <v>65</v>
      </c>
      <c r="B69" t="s">
        <v>461</v>
      </c>
      <c r="C69" s="1" t="s">
        <v>287</v>
      </c>
      <c r="D69" s="3" t="s">
        <v>76</v>
      </c>
      <c r="E69" s="3" t="s">
        <v>77</v>
      </c>
      <c r="F69" s="2">
        <v>32.041916000000001</v>
      </c>
      <c r="G69" s="2">
        <v>-77.3476</v>
      </c>
      <c r="H69" s="1">
        <v>-814</v>
      </c>
      <c r="I69" s="2">
        <v>16</v>
      </c>
      <c r="J69" s="1" t="s">
        <v>129</v>
      </c>
      <c r="K69" t="s">
        <v>246</v>
      </c>
      <c r="L69" t="s">
        <v>400</v>
      </c>
      <c r="M69">
        <v>1.797E-2</v>
      </c>
      <c r="N69">
        <f t="shared" si="4"/>
        <v>2.11950774671168E-2</v>
      </c>
      <c r="O69">
        <f t="shared" si="7"/>
        <v>-77.368795077467112</v>
      </c>
      <c r="P69">
        <f t="shared" si="5"/>
        <v>-77.326404922532888</v>
      </c>
      <c r="Q69">
        <f t="shared" si="6"/>
        <v>32.059885999999999</v>
      </c>
      <c r="R69">
        <f t="shared" si="3"/>
        <v>32.023946000000002</v>
      </c>
    </row>
    <row r="70" spans="1:18" x14ac:dyDescent="0.3">
      <c r="A70" t="s">
        <v>65</v>
      </c>
      <c r="B70" t="s">
        <v>464</v>
      </c>
      <c r="C70" s="1" t="s">
        <v>74</v>
      </c>
      <c r="D70" s="3" t="s">
        <v>480</v>
      </c>
      <c r="E70" s="3" t="s">
        <v>482</v>
      </c>
      <c r="F70" s="2">
        <v>33.585000000000001</v>
      </c>
      <c r="G70" s="2">
        <v>-76.450599999999994</v>
      </c>
      <c r="H70" s="1">
        <v>-464</v>
      </c>
      <c r="I70" s="2">
        <v>512</v>
      </c>
      <c r="J70" s="1" t="s">
        <v>129</v>
      </c>
      <c r="K70" t="s">
        <v>246</v>
      </c>
      <c r="L70" t="s">
        <v>401</v>
      </c>
      <c r="M70">
        <v>1.797E-2</v>
      </c>
      <c r="N70">
        <f t="shared" si="4"/>
        <v>2.1566384373619171E-2</v>
      </c>
      <c r="O70">
        <f t="shared" si="7"/>
        <v>-76.472166384373608</v>
      </c>
      <c r="P70">
        <f t="shared" si="5"/>
        <v>-76.429033615626381</v>
      </c>
      <c r="Q70">
        <f t="shared" si="6"/>
        <v>33.602969999999999</v>
      </c>
      <c r="R70">
        <f t="shared" si="3"/>
        <v>33.567030000000003</v>
      </c>
    </row>
    <row r="71" spans="1:18" x14ac:dyDescent="0.3">
      <c r="A71" t="s">
        <v>65</v>
      </c>
      <c r="B71" t="s">
        <v>465</v>
      </c>
      <c r="C71" s="1" t="s">
        <v>91</v>
      </c>
      <c r="D71" s="2" t="s">
        <v>92</v>
      </c>
      <c r="E71" s="2" t="s">
        <v>93</v>
      </c>
      <c r="F71" s="2">
        <v>30.494917000000001</v>
      </c>
      <c r="G71" s="2">
        <v>-80.002399999999994</v>
      </c>
      <c r="H71" s="1">
        <v>-324</v>
      </c>
      <c r="I71" s="2">
        <v>512</v>
      </c>
      <c r="J71" s="1" t="s">
        <v>129</v>
      </c>
      <c r="K71" t="s">
        <v>246</v>
      </c>
      <c r="L71" t="s">
        <v>402</v>
      </c>
      <c r="M71">
        <v>1.797E-2</v>
      </c>
      <c r="N71">
        <f t="shared" si="4"/>
        <v>2.0850367629395357E-2</v>
      </c>
      <c r="O71">
        <f t="shared" si="7"/>
        <v>-80.023250367629387</v>
      </c>
      <c r="P71">
        <f t="shared" si="5"/>
        <v>-79.981549632370601</v>
      </c>
      <c r="Q71">
        <f t="shared" si="6"/>
        <v>30.512886999999999</v>
      </c>
      <c r="R71">
        <f t="shared" si="3"/>
        <v>30.476947000000003</v>
      </c>
    </row>
    <row r="72" spans="1:18" x14ac:dyDescent="0.3">
      <c r="A72" t="s">
        <v>65</v>
      </c>
      <c r="B72" t="s">
        <v>466</v>
      </c>
      <c r="C72" s="1" t="s">
        <v>97</v>
      </c>
      <c r="D72" s="2" t="s">
        <v>98</v>
      </c>
      <c r="E72" s="2" t="s">
        <v>99</v>
      </c>
      <c r="F72" s="2">
        <v>29.251149999999999</v>
      </c>
      <c r="G72" s="2">
        <v>-78.350399999999993</v>
      </c>
      <c r="H72" s="1">
        <v>-900</v>
      </c>
      <c r="I72" s="2">
        <v>512</v>
      </c>
      <c r="J72" s="1" t="s">
        <v>129</v>
      </c>
      <c r="K72" t="s">
        <v>246</v>
      </c>
      <c r="L72" t="s">
        <v>403</v>
      </c>
      <c r="M72">
        <v>1.797E-2</v>
      </c>
      <c r="N72">
        <f t="shared" si="4"/>
        <v>2.0591985875799371E-2</v>
      </c>
      <c r="O72">
        <f t="shared" si="7"/>
        <v>-78.37099198587579</v>
      </c>
      <c r="P72">
        <f t="shared" si="5"/>
        <v>-78.329808014124197</v>
      </c>
      <c r="Q72">
        <f t="shared" si="6"/>
        <v>29.269119999999997</v>
      </c>
      <c r="R72">
        <f t="shared" ref="R72:R117" si="8">F72-M72</f>
        <v>29.233180000000001</v>
      </c>
    </row>
    <row r="73" spans="1:18" x14ac:dyDescent="0.3">
      <c r="A73" t="s">
        <v>65</v>
      </c>
      <c r="B73" t="s">
        <v>467</v>
      </c>
      <c r="C73" s="1" t="s">
        <v>69</v>
      </c>
      <c r="D73" s="3" t="s">
        <v>481</v>
      </c>
      <c r="E73" s="3" t="s">
        <v>483</v>
      </c>
      <c r="F73" s="2">
        <v>35.199184000000002</v>
      </c>
      <c r="G73" s="2">
        <v>-75.020600000000002</v>
      </c>
      <c r="H73" s="1">
        <v>-294</v>
      </c>
      <c r="I73" s="2">
        <v>512</v>
      </c>
      <c r="J73" s="1" t="s">
        <v>129</v>
      </c>
      <c r="K73" t="s">
        <v>246</v>
      </c>
      <c r="L73" t="s">
        <v>404</v>
      </c>
      <c r="M73">
        <v>1.797E-2</v>
      </c>
      <c r="N73">
        <f t="shared" si="4"/>
        <v>2.1986361343711507E-2</v>
      </c>
      <c r="O73">
        <f t="shared" si="7"/>
        <v>-75.042586361343709</v>
      </c>
      <c r="P73">
        <f t="shared" si="5"/>
        <v>-74.998613638656295</v>
      </c>
      <c r="Q73">
        <f t="shared" si="6"/>
        <v>35.217154000000001</v>
      </c>
      <c r="R73">
        <f t="shared" si="8"/>
        <v>35.181214000000004</v>
      </c>
    </row>
    <row r="74" spans="1:18" x14ac:dyDescent="0.3">
      <c r="A74" t="s">
        <v>70</v>
      </c>
      <c r="B74" t="s">
        <v>468</v>
      </c>
      <c r="C74" s="1" t="s">
        <v>71</v>
      </c>
      <c r="D74" s="2" t="s">
        <v>72</v>
      </c>
      <c r="E74" s="2" t="s">
        <v>73</v>
      </c>
      <c r="F74" s="2">
        <v>35.131300000000003</v>
      </c>
      <c r="G74" s="2">
        <v>-75.109800000000007</v>
      </c>
      <c r="H74" s="1">
        <v>-232</v>
      </c>
      <c r="I74" s="2">
        <v>64</v>
      </c>
      <c r="J74" s="1" t="s">
        <v>217</v>
      </c>
      <c r="K74" s="1"/>
      <c r="M74">
        <v>1.797E-2</v>
      </c>
      <c r="N74">
        <f t="shared" si="4"/>
        <v>2.1968016805560441E-2</v>
      </c>
      <c r="O74">
        <f t="shared" si="7"/>
        <v>-75.131768016805566</v>
      </c>
      <c r="P74">
        <f t="shared" si="5"/>
        <v>-75.087831983194448</v>
      </c>
      <c r="Q74">
        <f t="shared" si="6"/>
        <v>35.149270000000001</v>
      </c>
      <c r="R74">
        <f t="shared" si="8"/>
        <v>35.113330000000005</v>
      </c>
    </row>
    <row r="75" spans="1:18" x14ac:dyDescent="0.3">
      <c r="A75" t="s">
        <v>84</v>
      </c>
      <c r="B75" t="s">
        <v>462</v>
      </c>
      <c r="C75" s="1" t="s">
        <v>85</v>
      </c>
      <c r="D75" s="2" t="s">
        <v>86</v>
      </c>
      <c r="E75" s="2" t="s">
        <v>87</v>
      </c>
      <c r="F75" s="2">
        <v>31.37613</v>
      </c>
      <c r="G75" s="2">
        <v>-80.839129999999997</v>
      </c>
      <c r="H75" s="1">
        <v>-18</v>
      </c>
      <c r="I75" s="2">
        <v>48</v>
      </c>
      <c r="J75" s="1" t="s">
        <v>182</v>
      </c>
      <c r="K75" t="s">
        <v>246</v>
      </c>
      <c r="L75" t="s">
        <v>405</v>
      </c>
      <c r="M75">
        <v>1.797E-2</v>
      </c>
      <c r="N75">
        <f t="shared" si="4"/>
        <v>2.1043454553139419E-2</v>
      </c>
      <c r="O75">
        <f t="shared" si="7"/>
        <v>-80.860173454553134</v>
      </c>
      <c r="P75">
        <f t="shared" si="5"/>
        <v>-80.81808654544686</v>
      </c>
      <c r="Q75">
        <f t="shared" si="6"/>
        <v>31.394099999999998</v>
      </c>
      <c r="R75">
        <f t="shared" si="8"/>
        <v>31.358160000000002</v>
      </c>
    </row>
    <row r="76" spans="1:18" x14ac:dyDescent="0.3">
      <c r="A76" t="s">
        <v>84</v>
      </c>
      <c r="B76" t="s">
        <v>462</v>
      </c>
      <c r="C76" s="1" t="s">
        <v>288</v>
      </c>
      <c r="D76" s="2" t="s">
        <v>289</v>
      </c>
      <c r="E76" s="2" t="s">
        <v>290</v>
      </c>
      <c r="F76" s="2">
        <v>31.37613</v>
      </c>
      <c r="G76" s="2">
        <v>-80.839129999999997</v>
      </c>
      <c r="H76" s="1">
        <v>-18</v>
      </c>
      <c r="I76" s="2">
        <v>48</v>
      </c>
      <c r="J76" s="1" t="s">
        <v>129</v>
      </c>
      <c r="K76" t="s">
        <v>246</v>
      </c>
      <c r="L76" t="s">
        <v>405</v>
      </c>
      <c r="M76">
        <v>1.797E-2</v>
      </c>
      <c r="N76">
        <f t="shared" si="4"/>
        <v>2.1043454553139419E-2</v>
      </c>
      <c r="O76">
        <f t="shared" si="7"/>
        <v>-80.860173454553134</v>
      </c>
      <c r="P76">
        <f t="shared" si="5"/>
        <v>-80.81808654544686</v>
      </c>
      <c r="Q76">
        <f t="shared" si="6"/>
        <v>31.394099999999998</v>
      </c>
      <c r="R76">
        <f t="shared" si="8"/>
        <v>31.358160000000002</v>
      </c>
    </row>
    <row r="77" spans="1:18" x14ac:dyDescent="0.3">
      <c r="A77" t="s">
        <v>84</v>
      </c>
      <c r="B77" t="s">
        <v>462</v>
      </c>
      <c r="C77" s="1" t="s">
        <v>291</v>
      </c>
      <c r="D77" s="2" t="s">
        <v>292</v>
      </c>
      <c r="E77" s="2" t="s">
        <v>293</v>
      </c>
      <c r="F77" s="2">
        <v>31.37613</v>
      </c>
      <c r="G77" s="2">
        <v>-80.839129999999997</v>
      </c>
      <c r="H77" s="1">
        <v>-17</v>
      </c>
      <c r="I77" s="2">
        <v>48</v>
      </c>
      <c r="J77" s="1" t="s">
        <v>182</v>
      </c>
      <c r="K77" t="s">
        <v>246</v>
      </c>
      <c r="L77" t="s">
        <v>405</v>
      </c>
      <c r="M77">
        <v>1.797E-2</v>
      </c>
      <c r="N77">
        <f t="shared" si="4"/>
        <v>2.1043454553139419E-2</v>
      </c>
      <c r="O77">
        <f t="shared" si="7"/>
        <v>-80.860173454553134</v>
      </c>
      <c r="P77">
        <f t="shared" si="5"/>
        <v>-80.81808654544686</v>
      </c>
      <c r="Q77">
        <f t="shared" si="6"/>
        <v>31.394099999999998</v>
      </c>
      <c r="R77">
        <f t="shared" si="8"/>
        <v>31.358160000000002</v>
      </c>
    </row>
    <row r="78" spans="1:18" x14ac:dyDescent="0.3">
      <c r="A78" t="s">
        <v>84</v>
      </c>
      <c r="B78" t="s">
        <v>463</v>
      </c>
      <c r="C78" s="1" t="s">
        <v>88</v>
      </c>
      <c r="D78" s="2" t="s">
        <v>89</v>
      </c>
      <c r="E78" s="2" t="s">
        <v>90</v>
      </c>
      <c r="F78" s="2">
        <v>31.367519999999999</v>
      </c>
      <c r="G78" s="2">
        <v>-80.894900000000007</v>
      </c>
      <c r="H78" s="1">
        <v>-16</v>
      </c>
      <c r="I78" s="2">
        <v>48</v>
      </c>
      <c r="J78" s="1" t="s">
        <v>182</v>
      </c>
      <c r="K78" t="s">
        <v>246</v>
      </c>
      <c r="L78" t="s">
        <v>406</v>
      </c>
      <c r="M78">
        <v>1.797E-2</v>
      </c>
      <c r="N78">
        <f t="shared" si="4"/>
        <v>2.1041526523582463E-2</v>
      </c>
      <c r="O78">
        <f t="shared" si="7"/>
        <v>-80.915941526523596</v>
      </c>
      <c r="P78">
        <f t="shared" si="5"/>
        <v>-80.873858473476417</v>
      </c>
      <c r="Q78">
        <f t="shared" si="6"/>
        <v>31.385489999999997</v>
      </c>
      <c r="R78">
        <f t="shared" si="8"/>
        <v>31.349550000000001</v>
      </c>
    </row>
    <row r="79" spans="1:18" x14ac:dyDescent="0.3">
      <c r="A79" t="s">
        <v>84</v>
      </c>
      <c r="B79" t="s">
        <v>463</v>
      </c>
      <c r="C79" s="1" t="s">
        <v>294</v>
      </c>
      <c r="D79" s="2" t="s">
        <v>289</v>
      </c>
      <c r="E79" s="2" t="s">
        <v>290</v>
      </c>
      <c r="F79" s="2">
        <v>31.36749</v>
      </c>
      <c r="G79" s="2">
        <v>-80.894999999999996</v>
      </c>
      <c r="H79" s="1">
        <v>-16</v>
      </c>
      <c r="I79" s="2">
        <v>48</v>
      </c>
      <c r="J79" s="1" t="s">
        <v>182</v>
      </c>
      <c r="K79" t="s">
        <v>246</v>
      </c>
      <c r="L79" t="s">
        <v>406</v>
      </c>
      <c r="M79">
        <v>1.797E-2</v>
      </c>
      <c r="N79">
        <f t="shared" si="4"/>
        <v>2.1041519807157745E-2</v>
      </c>
      <c r="O79">
        <f t="shared" si="7"/>
        <v>-80.916041519807152</v>
      </c>
      <c r="P79">
        <f t="shared" si="5"/>
        <v>-80.87395848019284</v>
      </c>
      <c r="Q79">
        <f t="shared" si="6"/>
        <v>31.385459999999998</v>
      </c>
      <c r="R79">
        <f t="shared" si="8"/>
        <v>31.349520000000002</v>
      </c>
    </row>
    <row r="80" spans="1:18" x14ac:dyDescent="0.3">
      <c r="A80" t="s">
        <v>84</v>
      </c>
      <c r="B80" t="s">
        <v>463</v>
      </c>
      <c r="C80" s="1" t="s">
        <v>295</v>
      </c>
      <c r="D80" s="2" t="s">
        <v>296</v>
      </c>
      <c r="E80" s="2" t="s">
        <v>297</v>
      </c>
      <c r="F80" s="2">
        <v>31.367519999999999</v>
      </c>
      <c r="G80" s="2">
        <v>-80.894900000000007</v>
      </c>
      <c r="H80" s="1">
        <v>-16</v>
      </c>
      <c r="I80" s="2">
        <v>48</v>
      </c>
      <c r="J80" s="1" t="s">
        <v>182</v>
      </c>
      <c r="K80" t="s">
        <v>246</v>
      </c>
      <c r="L80" t="s">
        <v>406</v>
      </c>
      <c r="M80">
        <v>1.797E-2</v>
      </c>
      <c r="N80">
        <f t="shared" si="4"/>
        <v>2.1041526523582463E-2</v>
      </c>
      <c r="O80">
        <f t="shared" si="7"/>
        <v>-80.915941526523596</v>
      </c>
      <c r="P80">
        <f t="shared" si="5"/>
        <v>-80.873858473476417</v>
      </c>
      <c r="Q80">
        <f t="shared" si="6"/>
        <v>31.385489999999997</v>
      </c>
      <c r="R80">
        <f t="shared" si="8"/>
        <v>31.349550000000001</v>
      </c>
    </row>
    <row r="81" spans="1:18" x14ac:dyDescent="0.3">
      <c r="A81" t="s">
        <v>84</v>
      </c>
      <c r="B81" t="s">
        <v>463</v>
      </c>
      <c r="C81" s="1" t="s">
        <v>298</v>
      </c>
      <c r="D81" s="2" t="s">
        <v>299</v>
      </c>
      <c r="E81" s="2" t="s">
        <v>300</v>
      </c>
      <c r="F81" s="2">
        <v>31.367519999999999</v>
      </c>
      <c r="G81" s="2">
        <v>-80.894900000000007</v>
      </c>
      <c r="H81" s="1">
        <v>-17</v>
      </c>
      <c r="I81" s="2">
        <v>48</v>
      </c>
      <c r="J81" s="1" t="s">
        <v>182</v>
      </c>
      <c r="K81" t="s">
        <v>246</v>
      </c>
      <c r="L81" t="s">
        <v>406</v>
      </c>
      <c r="M81">
        <v>1.797E-2</v>
      </c>
      <c r="N81">
        <f t="shared" si="4"/>
        <v>2.1041526523582463E-2</v>
      </c>
      <c r="O81">
        <f t="shared" si="7"/>
        <v>-80.915941526523596</v>
      </c>
      <c r="P81">
        <f t="shared" si="5"/>
        <v>-80.873858473476417</v>
      </c>
      <c r="Q81">
        <f t="shared" si="6"/>
        <v>31.385489999999997</v>
      </c>
      <c r="R81">
        <f t="shared" si="8"/>
        <v>31.349550000000001</v>
      </c>
    </row>
    <row r="82" spans="1:18" x14ac:dyDescent="0.3">
      <c r="A82" t="s">
        <v>84</v>
      </c>
      <c r="B82" t="s">
        <v>469</v>
      </c>
      <c r="C82" s="1" t="s">
        <v>100</v>
      </c>
      <c r="D82" s="2" t="s">
        <v>101</v>
      </c>
      <c r="E82" s="2" t="s">
        <v>102</v>
      </c>
      <c r="F82" s="2">
        <v>24.488959999999999</v>
      </c>
      <c r="G82" s="2">
        <v>-81.666399999999996</v>
      </c>
      <c r="H82" s="1">
        <v>-13</v>
      </c>
      <c r="I82" s="2">
        <v>48</v>
      </c>
      <c r="J82" s="1" t="s">
        <v>182</v>
      </c>
      <c r="K82" t="s">
        <v>246</v>
      </c>
      <c r="L82" t="s">
        <v>407</v>
      </c>
      <c r="M82">
        <v>1.797E-2</v>
      </c>
      <c r="N82">
        <f t="shared" si="4"/>
        <v>1.9742209815983822E-2</v>
      </c>
      <c r="O82">
        <f t="shared" si="7"/>
        <v>-81.686142209815984</v>
      </c>
      <c r="P82">
        <f t="shared" si="5"/>
        <v>-81.646657790184008</v>
      </c>
      <c r="Q82">
        <f t="shared" si="6"/>
        <v>24.506929999999997</v>
      </c>
      <c r="R82">
        <f t="shared" si="8"/>
        <v>24.47099</v>
      </c>
    </row>
    <row r="83" spans="1:18" x14ac:dyDescent="0.3">
      <c r="A83" t="s">
        <v>84</v>
      </c>
      <c r="B83" t="s">
        <v>469</v>
      </c>
      <c r="C83" s="1" t="s">
        <v>301</v>
      </c>
      <c r="D83" s="2" t="s">
        <v>302</v>
      </c>
      <c r="E83" s="2" t="s">
        <v>303</v>
      </c>
      <c r="F83" s="2">
        <v>24.488800000000001</v>
      </c>
      <c r="G83" s="2">
        <v>-81.666319999999999</v>
      </c>
      <c r="H83" s="1">
        <v>-12</v>
      </c>
      <c r="I83" s="2">
        <v>48</v>
      </c>
      <c r="J83" s="1" t="s">
        <v>182</v>
      </c>
      <c r="K83" t="s">
        <v>246</v>
      </c>
      <c r="L83" t="s">
        <v>408</v>
      </c>
      <c r="M83">
        <v>1.797E-2</v>
      </c>
      <c r="N83">
        <f t="shared" si="4"/>
        <v>1.9742184704435922E-2</v>
      </c>
      <c r="O83">
        <f t="shared" si="7"/>
        <v>-81.68606218470444</v>
      </c>
      <c r="P83">
        <f t="shared" si="5"/>
        <v>-81.646577815295558</v>
      </c>
      <c r="Q83">
        <f t="shared" si="6"/>
        <v>24.506769999999999</v>
      </c>
      <c r="R83">
        <f t="shared" si="8"/>
        <v>24.470830000000003</v>
      </c>
    </row>
    <row r="84" spans="1:18" x14ac:dyDescent="0.3">
      <c r="A84" t="s">
        <v>84</v>
      </c>
      <c r="B84" t="s">
        <v>470</v>
      </c>
      <c r="C84" s="1" t="s">
        <v>103</v>
      </c>
      <c r="D84" s="2" t="s">
        <v>104</v>
      </c>
      <c r="E84" s="2" t="s">
        <v>105</v>
      </c>
      <c r="F84" s="2">
        <v>24.458950000000002</v>
      </c>
      <c r="G84" s="2">
        <v>-81.77413</v>
      </c>
      <c r="H84" s="1">
        <v>-25</v>
      </c>
      <c r="I84" s="2">
        <v>48</v>
      </c>
      <c r="J84" s="1" t="s">
        <v>182</v>
      </c>
      <c r="K84" t="s">
        <v>246</v>
      </c>
      <c r="L84" t="s">
        <v>408</v>
      </c>
      <c r="M84">
        <v>1.797E-2</v>
      </c>
      <c r="N84">
        <f t="shared" si="4"/>
        <v>1.9737503641222894E-2</v>
      </c>
      <c r="O84">
        <f t="shared" si="7"/>
        <v>-81.793867503641223</v>
      </c>
      <c r="P84">
        <f t="shared" si="5"/>
        <v>-81.754392496358776</v>
      </c>
      <c r="Q84">
        <f t="shared" si="6"/>
        <v>24.47692</v>
      </c>
      <c r="R84">
        <f t="shared" si="8"/>
        <v>24.440980000000003</v>
      </c>
    </row>
    <row r="85" spans="1:18" x14ac:dyDescent="0.3">
      <c r="A85" t="s">
        <v>84</v>
      </c>
      <c r="B85" t="s">
        <v>470</v>
      </c>
      <c r="C85" s="1" t="s">
        <v>304</v>
      </c>
      <c r="D85" s="2" t="s">
        <v>305</v>
      </c>
      <c r="E85" s="2" t="s">
        <v>306</v>
      </c>
      <c r="F85" s="2">
        <v>24.458950000000002</v>
      </c>
      <c r="G85" s="2">
        <v>-81.77413</v>
      </c>
      <c r="H85" s="1">
        <v>-25</v>
      </c>
      <c r="I85" s="2">
        <v>48</v>
      </c>
      <c r="J85" s="1" t="s">
        <v>129</v>
      </c>
      <c r="K85" t="s">
        <v>246</v>
      </c>
      <c r="L85" t="s">
        <v>409</v>
      </c>
      <c r="M85">
        <v>1.797E-2</v>
      </c>
      <c r="N85">
        <f t="shared" si="4"/>
        <v>1.9737503641222894E-2</v>
      </c>
      <c r="O85">
        <f t="shared" si="7"/>
        <v>-81.793867503641223</v>
      </c>
      <c r="P85">
        <f t="shared" si="5"/>
        <v>-81.754392496358776</v>
      </c>
      <c r="Q85">
        <f t="shared" si="6"/>
        <v>24.47692</v>
      </c>
      <c r="R85">
        <f t="shared" si="8"/>
        <v>24.440980000000003</v>
      </c>
    </row>
    <row r="86" spans="1:18" x14ac:dyDescent="0.3">
      <c r="A86" t="s">
        <v>84</v>
      </c>
      <c r="B86" t="s">
        <v>471</v>
      </c>
      <c r="C86" s="1" t="s">
        <v>146</v>
      </c>
      <c r="D86" s="2" t="s">
        <v>147</v>
      </c>
      <c r="E86" s="2" t="s">
        <v>148</v>
      </c>
      <c r="F86" s="2">
        <v>33.486800000000002</v>
      </c>
      <c r="G86" s="2">
        <v>-119.0159</v>
      </c>
      <c r="H86" s="1">
        <v>-30</v>
      </c>
      <c r="I86" s="2">
        <v>48</v>
      </c>
      <c r="J86" s="1" t="s">
        <v>182</v>
      </c>
      <c r="K86" t="s">
        <v>246</v>
      </c>
      <c r="L86" t="s">
        <v>410</v>
      </c>
      <c r="M86">
        <v>1.797E-2</v>
      </c>
      <c r="N86">
        <f t="shared" si="4"/>
        <v>2.1541899735615391E-2</v>
      </c>
      <c r="O86">
        <f t="shared" si="7"/>
        <v>-119.03744189973561</v>
      </c>
      <c r="P86">
        <f t="shared" si="5"/>
        <v>-118.99435810026439</v>
      </c>
      <c r="Q86">
        <f t="shared" si="6"/>
        <v>33.504770000000001</v>
      </c>
      <c r="R86">
        <f t="shared" si="8"/>
        <v>33.468830000000004</v>
      </c>
    </row>
    <row r="87" spans="1:18" x14ac:dyDescent="0.3">
      <c r="A87" t="s">
        <v>84</v>
      </c>
      <c r="B87" t="s">
        <v>471</v>
      </c>
      <c r="C87" s="1" t="s">
        <v>307</v>
      </c>
      <c r="D87" s="2" t="s">
        <v>308</v>
      </c>
      <c r="E87" s="2" t="s">
        <v>309</v>
      </c>
      <c r="F87" s="2">
        <v>33.486870000000003</v>
      </c>
      <c r="G87" s="2">
        <v>-119.01609000000001</v>
      </c>
      <c r="H87" s="1">
        <v>-29.5</v>
      </c>
      <c r="I87" s="2">
        <v>48</v>
      </c>
      <c r="J87" s="1" t="s">
        <v>182</v>
      </c>
      <c r="K87" t="s">
        <v>246</v>
      </c>
      <c r="L87" t="s">
        <v>411</v>
      </c>
      <c r="M87">
        <v>1.797E-2</v>
      </c>
      <c r="N87">
        <f t="shared" si="4"/>
        <v>2.1541917146693176E-2</v>
      </c>
      <c r="O87">
        <f t="shared" si="7"/>
        <v>-119.0376319171467</v>
      </c>
      <c r="P87">
        <f t="shared" si="5"/>
        <v>-118.99454808285331</v>
      </c>
      <c r="Q87">
        <f t="shared" si="6"/>
        <v>33.504840000000002</v>
      </c>
      <c r="R87">
        <f t="shared" si="8"/>
        <v>33.468900000000005</v>
      </c>
    </row>
    <row r="88" spans="1:18" x14ac:dyDescent="0.3">
      <c r="A88" t="s">
        <v>84</v>
      </c>
      <c r="B88" t="s">
        <v>471</v>
      </c>
      <c r="C88" s="1" t="s">
        <v>314</v>
      </c>
      <c r="D88" s="2" t="s">
        <v>485</v>
      </c>
      <c r="E88" s="2" t="s">
        <v>315</v>
      </c>
      <c r="F88" s="2">
        <v>33.486750000000001</v>
      </c>
      <c r="G88" s="2">
        <v>-119.01607</v>
      </c>
      <c r="H88" s="1">
        <v>-28.5</v>
      </c>
      <c r="I88" s="2">
        <v>48</v>
      </c>
      <c r="J88" s="1" t="s">
        <v>182</v>
      </c>
      <c r="K88" t="s">
        <v>246</v>
      </c>
      <c r="L88" t="s">
        <v>412</v>
      </c>
      <c r="M88">
        <v>1.797E-2</v>
      </c>
      <c r="N88">
        <f t="shared" si="4"/>
        <v>2.1541887299168175E-2</v>
      </c>
      <c r="O88">
        <f t="shared" si="7"/>
        <v>-119.03761188729916</v>
      </c>
      <c r="P88">
        <f t="shared" si="5"/>
        <v>-118.99452811270083</v>
      </c>
      <c r="Q88">
        <f t="shared" si="6"/>
        <v>33.504719999999999</v>
      </c>
      <c r="R88">
        <f t="shared" si="8"/>
        <v>33.468780000000002</v>
      </c>
    </row>
    <row r="89" spans="1:18" x14ac:dyDescent="0.3">
      <c r="A89" t="s">
        <v>84</v>
      </c>
      <c r="B89" t="s">
        <v>471</v>
      </c>
      <c r="C89" s="1" t="s">
        <v>316</v>
      </c>
      <c r="D89" s="2" t="s">
        <v>317</v>
      </c>
      <c r="E89" s="2" t="s">
        <v>318</v>
      </c>
      <c r="F89" s="2">
        <v>33.486750000000001</v>
      </c>
      <c r="G89" s="2">
        <v>-119.01607</v>
      </c>
      <c r="H89" s="1">
        <v>-28</v>
      </c>
      <c r="I89" s="2">
        <v>48</v>
      </c>
      <c r="J89" s="1" t="s">
        <v>182</v>
      </c>
      <c r="K89" t="s">
        <v>246</v>
      </c>
      <c r="L89" t="s">
        <v>412</v>
      </c>
      <c r="M89">
        <v>1.797E-2</v>
      </c>
      <c r="N89">
        <f t="shared" si="4"/>
        <v>2.1541887299168175E-2</v>
      </c>
      <c r="O89">
        <f t="shared" si="7"/>
        <v>-119.03761188729916</v>
      </c>
      <c r="P89">
        <f t="shared" si="5"/>
        <v>-118.99452811270083</v>
      </c>
      <c r="Q89">
        <f t="shared" si="6"/>
        <v>33.504719999999999</v>
      </c>
      <c r="R89">
        <f t="shared" si="8"/>
        <v>33.468780000000002</v>
      </c>
    </row>
    <row r="90" spans="1:18" x14ac:dyDescent="0.3">
      <c r="A90" t="s">
        <v>84</v>
      </c>
      <c r="B90" t="s">
        <v>471</v>
      </c>
      <c r="C90" s="1" t="s">
        <v>310</v>
      </c>
      <c r="D90" s="2" t="s">
        <v>311</v>
      </c>
      <c r="E90" s="2" t="s">
        <v>312</v>
      </c>
      <c r="F90" s="2">
        <v>33.486750000000001</v>
      </c>
      <c r="G90" s="2">
        <v>-119.01607</v>
      </c>
      <c r="H90" s="1">
        <v>-28.5</v>
      </c>
      <c r="I90" s="2">
        <v>48</v>
      </c>
      <c r="J90" s="1" t="s">
        <v>182</v>
      </c>
      <c r="K90" t="s">
        <v>246</v>
      </c>
      <c r="L90" t="s">
        <v>412</v>
      </c>
      <c r="M90">
        <v>1.797E-2</v>
      </c>
      <c r="N90">
        <f t="shared" si="4"/>
        <v>2.1541887299168175E-2</v>
      </c>
      <c r="O90">
        <f t="shared" si="7"/>
        <v>-119.03761188729916</v>
      </c>
      <c r="P90">
        <f t="shared" si="5"/>
        <v>-118.99452811270083</v>
      </c>
      <c r="Q90">
        <f t="shared" si="6"/>
        <v>33.504719999999999</v>
      </c>
      <c r="R90">
        <f t="shared" si="8"/>
        <v>33.468780000000002</v>
      </c>
    </row>
    <row r="91" spans="1:18" x14ac:dyDescent="0.3">
      <c r="A91" t="s">
        <v>84</v>
      </c>
      <c r="B91" t="s">
        <v>445</v>
      </c>
      <c r="C91" s="1" t="s">
        <v>149</v>
      </c>
      <c r="D91" s="2" t="s">
        <v>150</v>
      </c>
      <c r="E91" s="2" t="s">
        <v>151</v>
      </c>
      <c r="F91" s="2">
        <v>33.848869999999998</v>
      </c>
      <c r="G91" s="2">
        <v>-120.11736999999999</v>
      </c>
      <c r="H91" s="1">
        <v>-148.5</v>
      </c>
      <c r="I91" s="2">
        <v>48</v>
      </c>
      <c r="J91" s="1" t="s">
        <v>182</v>
      </c>
      <c r="K91" t="s">
        <v>246</v>
      </c>
      <c r="L91" t="s">
        <v>413</v>
      </c>
      <c r="M91">
        <v>1.797E-2</v>
      </c>
      <c r="N91">
        <f t="shared" ref="N91:N117" si="9">2 / (111.32 * COS(RADIANS(F91)))</f>
        <v>2.163276835355998E-2</v>
      </c>
      <c r="O91">
        <f t="shared" si="7"/>
        <v>-120.13900276835355</v>
      </c>
      <c r="P91">
        <f t="shared" si="5"/>
        <v>-120.09573723164644</v>
      </c>
      <c r="Q91">
        <f t="shared" si="6"/>
        <v>33.866839999999996</v>
      </c>
      <c r="R91">
        <f t="shared" si="8"/>
        <v>33.8309</v>
      </c>
    </row>
    <row r="92" spans="1:18" x14ac:dyDescent="0.3">
      <c r="A92" t="s">
        <v>84</v>
      </c>
      <c r="B92" t="s">
        <v>445</v>
      </c>
      <c r="C92" s="1" t="s">
        <v>319</v>
      </c>
      <c r="D92" s="2" t="s">
        <v>320</v>
      </c>
      <c r="E92" s="2" t="s">
        <v>479</v>
      </c>
      <c r="F92" s="2">
        <v>33.8489</v>
      </c>
      <c r="G92" s="2">
        <v>-120.11750000000001</v>
      </c>
      <c r="H92" s="1">
        <v>-149.5</v>
      </c>
      <c r="I92" s="2">
        <v>48</v>
      </c>
      <c r="J92" s="1" t="s">
        <v>321</v>
      </c>
      <c r="K92" t="s">
        <v>246</v>
      </c>
      <c r="L92" t="s">
        <v>414</v>
      </c>
      <c r="M92">
        <v>1.797E-2</v>
      </c>
      <c r="N92">
        <f t="shared" si="9"/>
        <v>2.1632775950257109E-2</v>
      </c>
      <c r="O92">
        <f t="shared" si="7"/>
        <v>-120.13913277595026</v>
      </c>
      <c r="P92">
        <f t="shared" si="5"/>
        <v>-120.09586722404975</v>
      </c>
      <c r="Q92">
        <f t="shared" si="6"/>
        <v>33.866869999999999</v>
      </c>
      <c r="R92">
        <f t="shared" si="8"/>
        <v>33.830930000000002</v>
      </c>
    </row>
    <row r="93" spans="1:18" x14ac:dyDescent="0.3">
      <c r="A93" t="s">
        <v>84</v>
      </c>
      <c r="B93" t="s">
        <v>445</v>
      </c>
      <c r="C93" s="1" t="s">
        <v>322</v>
      </c>
      <c r="D93" s="2" t="s">
        <v>323</v>
      </c>
      <c r="E93" s="2" t="s">
        <v>324</v>
      </c>
      <c r="F93" s="2">
        <v>33.848880000000001</v>
      </c>
      <c r="G93" s="2">
        <v>-120.117</v>
      </c>
      <c r="H93" s="1">
        <v>-151.5</v>
      </c>
      <c r="I93" s="2">
        <v>48</v>
      </c>
      <c r="J93" s="1" t="s">
        <v>182</v>
      </c>
      <c r="K93" t="s">
        <v>246</v>
      </c>
      <c r="L93" t="s">
        <v>414</v>
      </c>
      <c r="M93">
        <v>1.797E-2</v>
      </c>
      <c r="N93">
        <f t="shared" si="9"/>
        <v>2.1632770885791106E-2</v>
      </c>
      <c r="O93">
        <f t="shared" si="7"/>
        <v>-120.13863277088579</v>
      </c>
      <c r="P93">
        <f t="shared" si="5"/>
        <v>-120.09536722911422</v>
      </c>
      <c r="Q93">
        <f t="shared" si="6"/>
        <v>33.866849999999999</v>
      </c>
      <c r="R93">
        <f t="shared" si="8"/>
        <v>33.830910000000003</v>
      </c>
    </row>
    <row r="94" spans="1:18" x14ac:dyDescent="0.3">
      <c r="A94" t="s">
        <v>84</v>
      </c>
      <c r="B94" t="s">
        <v>445</v>
      </c>
      <c r="C94" s="1" t="s">
        <v>325</v>
      </c>
      <c r="D94" s="2" t="s">
        <v>326</v>
      </c>
      <c r="E94" s="2" t="s">
        <v>327</v>
      </c>
      <c r="F94" s="2">
        <v>33.848880000000001</v>
      </c>
      <c r="G94" s="2">
        <v>-120.117</v>
      </c>
      <c r="H94" s="1">
        <v>-151.5</v>
      </c>
      <c r="I94" s="2">
        <v>48</v>
      </c>
      <c r="J94" s="1" t="s">
        <v>182</v>
      </c>
      <c r="K94" t="s">
        <v>246</v>
      </c>
      <c r="L94" t="s">
        <v>415</v>
      </c>
      <c r="M94">
        <v>1.797E-2</v>
      </c>
      <c r="N94">
        <f t="shared" si="9"/>
        <v>2.1632770885791106E-2</v>
      </c>
      <c r="O94">
        <f t="shared" si="7"/>
        <v>-120.13863277088579</v>
      </c>
      <c r="P94">
        <f t="shared" si="5"/>
        <v>-120.09536722911422</v>
      </c>
      <c r="Q94">
        <f t="shared" si="6"/>
        <v>33.866849999999999</v>
      </c>
      <c r="R94">
        <f t="shared" si="8"/>
        <v>33.830910000000003</v>
      </c>
    </row>
    <row r="95" spans="1:18" x14ac:dyDescent="0.3">
      <c r="A95" t="s">
        <v>84</v>
      </c>
      <c r="B95" t="s">
        <v>445</v>
      </c>
      <c r="C95" s="1" t="s">
        <v>328</v>
      </c>
      <c r="D95" s="2" t="s">
        <v>329</v>
      </c>
      <c r="E95" s="2" t="s">
        <v>330</v>
      </c>
      <c r="F95" s="2">
        <v>33.8489</v>
      </c>
      <c r="G95" s="2">
        <v>-120.11709999999999</v>
      </c>
      <c r="H95" s="1">
        <v>-151.5</v>
      </c>
      <c r="I95" s="2">
        <v>48</v>
      </c>
      <c r="J95" s="1" t="s">
        <v>182</v>
      </c>
      <c r="K95" t="s">
        <v>246</v>
      </c>
      <c r="L95" t="s">
        <v>416</v>
      </c>
      <c r="M95">
        <v>1.797E-2</v>
      </c>
      <c r="N95">
        <f t="shared" si="9"/>
        <v>2.1632775950257109E-2</v>
      </c>
      <c r="O95">
        <f t="shared" si="7"/>
        <v>-120.13873277595025</v>
      </c>
      <c r="P95">
        <f t="shared" si="5"/>
        <v>-120.09546722404974</v>
      </c>
      <c r="Q95">
        <f t="shared" si="6"/>
        <v>33.866869999999999</v>
      </c>
      <c r="R95">
        <f t="shared" si="8"/>
        <v>33.830930000000002</v>
      </c>
    </row>
    <row r="96" spans="1:18" x14ac:dyDescent="0.3">
      <c r="A96" t="s">
        <v>84</v>
      </c>
      <c r="B96" t="s">
        <v>472</v>
      </c>
      <c r="C96" s="1" t="s">
        <v>167</v>
      </c>
      <c r="D96" s="2" t="s">
        <v>168</v>
      </c>
      <c r="E96" s="2" t="s">
        <v>169</v>
      </c>
      <c r="F96" s="2">
        <v>34.085500000000003</v>
      </c>
      <c r="G96" s="2">
        <v>-120.5244</v>
      </c>
      <c r="H96" s="1">
        <v>-73</v>
      </c>
      <c r="I96" s="2">
        <v>48</v>
      </c>
      <c r="J96" s="1" t="s">
        <v>182</v>
      </c>
      <c r="K96" t="s">
        <v>246</v>
      </c>
      <c r="L96" t="s">
        <v>417</v>
      </c>
      <c r="M96">
        <v>1.797E-2</v>
      </c>
      <c r="N96">
        <f t="shared" si="9"/>
        <v>2.1693040304394416E-2</v>
      </c>
      <c r="O96">
        <f t="shared" si="7"/>
        <v>-120.5460930403044</v>
      </c>
      <c r="P96">
        <f t="shared" si="5"/>
        <v>-120.5027069596956</v>
      </c>
      <c r="Q96">
        <f t="shared" si="6"/>
        <v>34.103470000000002</v>
      </c>
      <c r="R96">
        <f t="shared" si="8"/>
        <v>34.067530000000005</v>
      </c>
    </row>
    <row r="97" spans="1:18" x14ac:dyDescent="0.3">
      <c r="A97" t="s">
        <v>84</v>
      </c>
      <c r="B97" t="s">
        <v>472</v>
      </c>
      <c r="C97" s="1" t="s">
        <v>331</v>
      </c>
      <c r="D97" s="2" t="s">
        <v>332</v>
      </c>
      <c r="E97" s="2" t="s">
        <v>333</v>
      </c>
      <c r="F97" s="2">
        <v>34.085320000000003</v>
      </c>
      <c r="G97" s="2">
        <v>-120.523</v>
      </c>
      <c r="H97" s="1">
        <v>-74</v>
      </c>
      <c r="I97" s="2">
        <v>48</v>
      </c>
      <c r="J97" s="1" t="s">
        <v>182</v>
      </c>
      <c r="K97" t="s">
        <v>246</v>
      </c>
      <c r="L97" t="s">
        <v>418</v>
      </c>
      <c r="M97">
        <v>1.797E-2</v>
      </c>
      <c r="N97">
        <f t="shared" si="9"/>
        <v>2.1692994188258232E-2</v>
      </c>
      <c r="O97">
        <f t="shared" si="7"/>
        <v>-120.54469299418825</v>
      </c>
      <c r="P97">
        <f t="shared" si="5"/>
        <v>-120.50130700581174</v>
      </c>
      <c r="Q97">
        <f t="shared" si="6"/>
        <v>34.103290000000001</v>
      </c>
      <c r="R97">
        <f t="shared" si="8"/>
        <v>34.067350000000005</v>
      </c>
    </row>
    <row r="98" spans="1:18" x14ac:dyDescent="0.3">
      <c r="A98" t="s">
        <v>84</v>
      </c>
      <c r="B98" t="s">
        <v>472</v>
      </c>
      <c r="C98" s="1" t="s">
        <v>334</v>
      </c>
      <c r="D98" s="2" t="s">
        <v>335</v>
      </c>
      <c r="E98" s="2" t="s">
        <v>336</v>
      </c>
      <c r="F98" s="2">
        <v>34.083500000000001</v>
      </c>
      <c r="G98" s="2">
        <v>-120.5223</v>
      </c>
      <c r="H98" s="1">
        <v>-71.5</v>
      </c>
      <c r="I98" s="2">
        <v>48</v>
      </c>
      <c r="J98" s="1" t="s">
        <v>182</v>
      </c>
      <c r="K98" t="s">
        <v>246</v>
      </c>
      <c r="L98" t="s">
        <v>419</v>
      </c>
      <c r="M98">
        <v>1.797E-2</v>
      </c>
      <c r="N98">
        <f t="shared" si="9"/>
        <v>2.1692527925921117E-2</v>
      </c>
      <c r="O98">
        <f t="shared" si="7"/>
        <v>-120.54399252792592</v>
      </c>
      <c r="P98">
        <f t="shared" si="5"/>
        <v>-120.50060747207408</v>
      </c>
      <c r="Q98">
        <f t="shared" si="6"/>
        <v>34.101469999999999</v>
      </c>
      <c r="R98">
        <f t="shared" si="8"/>
        <v>34.065530000000003</v>
      </c>
    </row>
    <row r="99" spans="1:18" x14ac:dyDescent="0.3">
      <c r="A99" t="s">
        <v>84</v>
      </c>
      <c r="B99" t="s">
        <v>472</v>
      </c>
      <c r="C99" s="1" t="s">
        <v>337</v>
      </c>
      <c r="D99" s="2" t="s">
        <v>338</v>
      </c>
      <c r="E99" s="2" t="s">
        <v>339</v>
      </c>
      <c r="F99" s="2">
        <v>34.0852</v>
      </c>
      <c r="G99" s="2">
        <v>-120.52209999999999</v>
      </c>
      <c r="H99" s="1">
        <v>-71.5</v>
      </c>
      <c r="I99" s="2">
        <v>48</v>
      </c>
      <c r="J99" s="1" t="s">
        <v>182</v>
      </c>
      <c r="K99" t="s">
        <v>246</v>
      </c>
      <c r="L99" t="s">
        <v>421</v>
      </c>
      <c r="M99">
        <v>1.797E-2</v>
      </c>
      <c r="N99">
        <f t="shared" si="9"/>
        <v>2.1692963444395308E-2</v>
      </c>
      <c r="O99">
        <f t="shared" si="7"/>
        <v>-120.54379296344439</v>
      </c>
      <c r="P99">
        <f t="shared" si="5"/>
        <v>-120.5004070365556</v>
      </c>
      <c r="Q99">
        <f t="shared" si="6"/>
        <v>34.103169999999999</v>
      </c>
      <c r="R99">
        <f t="shared" si="8"/>
        <v>34.067230000000002</v>
      </c>
    </row>
    <row r="100" spans="1:18" x14ac:dyDescent="0.3">
      <c r="A100" t="s">
        <v>84</v>
      </c>
      <c r="B100" t="s">
        <v>446</v>
      </c>
      <c r="C100" s="1" t="s">
        <v>162</v>
      </c>
      <c r="D100" s="2" t="s">
        <v>163</v>
      </c>
      <c r="E100" s="2" t="s">
        <v>420</v>
      </c>
      <c r="F100" s="2">
        <v>34.043579999999999</v>
      </c>
      <c r="G100" s="2">
        <v>-120.06702</v>
      </c>
      <c r="H100" s="1">
        <v>-15.5</v>
      </c>
      <c r="I100" s="2">
        <v>48</v>
      </c>
      <c r="J100" s="1" t="s">
        <v>313</v>
      </c>
      <c r="K100" t="s">
        <v>246</v>
      </c>
      <c r="L100" t="s">
        <v>422</v>
      </c>
      <c r="M100">
        <v>1.797E-2</v>
      </c>
      <c r="N100">
        <f t="shared" si="9"/>
        <v>2.1682311436886731E-2</v>
      </c>
      <c r="O100">
        <f t="shared" si="7"/>
        <v>-120.08870231143689</v>
      </c>
      <c r="P100">
        <f t="shared" si="5"/>
        <v>-120.04533768856311</v>
      </c>
      <c r="Q100">
        <f t="shared" si="6"/>
        <v>34.061549999999997</v>
      </c>
      <c r="R100">
        <f t="shared" si="8"/>
        <v>34.02561</v>
      </c>
    </row>
    <row r="101" spans="1:18" x14ac:dyDescent="0.3">
      <c r="A101" t="s">
        <v>84</v>
      </c>
      <c r="B101" t="s">
        <v>446</v>
      </c>
      <c r="C101" s="1" t="s">
        <v>340</v>
      </c>
      <c r="D101" s="2" t="s">
        <v>341</v>
      </c>
      <c r="E101" s="2" t="s">
        <v>342</v>
      </c>
      <c r="F101" s="2">
        <v>34.04363</v>
      </c>
      <c r="G101" s="2">
        <v>-120.08073</v>
      </c>
      <c r="H101" s="1">
        <v>-16.5</v>
      </c>
      <c r="I101" s="2">
        <v>48</v>
      </c>
      <c r="J101" s="1" t="s">
        <v>182</v>
      </c>
      <c r="K101" t="s">
        <v>246</v>
      </c>
      <c r="L101" t="s">
        <v>423</v>
      </c>
      <c r="M101">
        <v>1.797E-2</v>
      </c>
      <c r="N101">
        <f t="shared" si="9"/>
        <v>2.1682324220489053E-2</v>
      </c>
      <c r="O101">
        <f t="shared" si="7"/>
        <v>-120.1024123242205</v>
      </c>
      <c r="P101">
        <f t="shared" si="5"/>
        <v>-120.05904767577951</v>
      </c>
      <c r="Q101">
        <f t="shared" si="6"/>
        <v>34.061599999999999</v>
      </c>
      <c r="R101">
        <f t="shared" si="8"/>
        <v>34.025660000000002</v>
      </c>
    </row>
    <row r="102" spans="1:18" x14ac:dyDescent="0.3">
      <c r="A102" t="s">
        <v>84</v>
      </c>
      <c r="B102" t="s">
        <v>446</v>
      </c>
      <c r="C102" s="1" t="s">
        <v>343</v>
      </c>
      <c r="D102" s="2" t="s">
        <v>344</v>
      </c>
      <c r="E102" s="2" t="s">
        <v>345</v>
      </c>
      <c r="F102" s="2">
        <v>34.046300000000002</v>
      </c>
      <c r="G102" s="2">
        <v>-120.08073</v>
      </c>
      <c r="H102" s="1">
        <v>-18</v>
      </c>
      <c r="I102" s="2">
        <v>48</v>
      </c>
      <c r="J102" s="1" t="s">
        <v>182</v>
      </c>
      <c r="K102" t="s">
        <v>246</v>
      </c>
      <c r="L102" t="s">
        <v>424</v>
      </c>
      <c r="M102">
        <v>1.797E-2</v>
      </c>
      <c r="N102">
        <f t="shared" si="9"/>
        <v>2.1683006910733306E-2</v>
      </c>
      <c r="O102">
        <f t="shared" si="7"/>
        <v>-120.10241300691074</v>
      </c>
      <c r="P102">
        <f t="shared" si="5"/>
        <v>-120.05904699308927</v>
      </c>
      <c r="Q102">
        <f t="shared" si="6"/>
        <v>34.06427</v>
      </c>
      <c r="R102">
        <f t="shared" si="8"/>
        <v>34.028330000000004</v>
      </c>
    </row>
    <row r="103" spans="1:18" x14ac:dyDescent="0.3">
      <c r="A103" t="s">
        <v>84</v>
      </c>
      <c r="B103" t="s">
        <v>446</v>
      </c>
      <c r="C103" s="1" t="s">
        <v>346</v>
      </c>
      <c r="D103" s="2" t="s">
        <v>347</v>
      </c>
      <c r="E103" s="2" t="s">
        <v>348</v>
      </c>
      <c r="F103" s="2">
        <v>34.043599999999998</v>
      </c>
      <c r="G103" s="2">
        <v>-120.08029999999999</v>
      </c>
      <c r="H103" s="1">
        <v>-15.5</v>
      </c>
      <c r="I103" s="2">
        <v>48</v>
      </c>
      <c r="J103" s="1" t="s">
        <v>182</v>
      </c>
      <c r="K103" t="s">
        <v>246</v>
      </c>
      <c r="L103" t="s">
        <v>425</v>
      </c>
      <c r="M103">
        <v>1.797E-2</v>
      </c>
      <c r="N103">
        <f t="shared" si="9"/>
        <v>2.168231655032387E-2</v>
      </c>
      <c r="O103">
        <f t="shared" si="7"/>
        <v>-120.10198231655032</v>
      </c>
      <c r="P103">
        <f t="shared" si="5"/>
        <v>-120.05861768344967</v>
      </c>
      <c r="Q103">
        <f t="shared" si="6"/>
        <v>34.061569999999996</v>
      </c>
      <c r="R103">
        <f t="shared" si="8"/>
        <v>34.02563</v>
      </c>
    </row>
    <row r="104" spans="1:18" x14ac:dyDescent="0.3">
      <c r="A104" t="s">
        <v>84</v>
      </c>
      <c r="B104" t="s">
        <v>473</v>
      </c>
      <c r="C104" s="1" t="s">
        <v>179</v>
      </c>
      <c r="D104" s="2" t="s">
        <v>180</v>
      </c>
      <c r="E104" s="2" t="s">
        <v>181</v>
      </c>
      <c r="F104" s="2">
        <v>36.81467</v>
      </c>
      <c r="G104" s="2">
        <v>-121.97593000000001</v>
      </c>
      <c r="H104" s="1">
        <v>-115.5</v>
      </c>
      <c r="I104" s="2">
        <v>48</v>
      </c>
      <c r="J104" s="1" t="s">
        <v>182</v>
      </c>
      <c r="K104" t="s">
        <v>246</v>
      </c>
      <c r="L104" t="s">
        <v>426</v>
      </c>
      <c r="M104">
        <v>1.797E-2</v>
      </c>
      <c r="N104">
        <f t="shared" si="9"/>
        <v>2.244156616175819E-2</v>
      </c>
      <c r="O104">
        <f t="shared" si="7"/>
        <v>-121.99837156616177</v>
      </c>
      <c r="P104">
        <f t="shared" si="5"/>
        <v>-121.95348843383825</v>
      </c>
      <c r="Q104">
        <f t="shared" si="6"/>
        <v>36.832639999999998</v>
      </c>
      <c r="R104">
        <f t="shared" si="8"/>
        <v>36.796700000000001</v>
      </c>
    </row>
    <row r="105" spans="1:18" x14ac:dyDescent="0.3">
      <c r="A105" t="s">
        <v>84</v>
      </c>
      <c r="B105" t="s">
        <v>473</v>
      </c>
      <c r="C105" s="1" t="s">
        <v>349</v>
      </c>
      <c r="D105" s="2" t="s">
        <v>350</v>
      </c>
      <c r="E105" s="2" t="s">
        <v>351</v>
      </c>
      <c r="F105" s="2">
        <v>36.798000000000002</v>
      </c>
      <c r="G105" s="2">
        <v>-121.976</v>
      </c>
      <c r="H105" s="1">
        <v>-115.5</v>
      </c>
      <c r="I105" s="2">
        <v>48</v>
      </c>
      <c r="J105" s="1" t="s">
        <v>182</v>
      </c>
      <c r="K105" t="s">
        <v>246</v>
      </c>
      <c r="L105" t="s">
        <v>427</v>
      </c>
      <c r="M105">
        <v>1.797E-2</v>
      </c>
      <c r="N105">
        <f t="shared" si="9"/>
        <v>2.2436681032537195E-2</v>
      </c>
      <c r="O105">
        <f t="shared" si="7"/>
        <v>-121.99843668103253</v>
      </c>
      <c r="P105">
        <f t="shared" si="5"/>
        <v>-121.95356331896747</v>
      </c>
      <c r="Q105">
        <f t="shared" si="6"/>
        <v>36.81597</v>
      </c>
      <c r="R105">
        <f t="shared" si="8"/>
        <v>36.780030000000004</v>
      </c>
    </row>
    <row r="106" spans="1:18" x14ac:dyDescent="0.3">
      <c r="A106" t="s">
        <v>84</v>
      </c>
      <c r="B106" t="s">
        <v>473</v>
      </c>
      <c r="C106" s="1" t="s">
        <v>352</v>
      </c>
      <c r="D106" s="2" t="s">
        <v>353</v>
      </c>
      <c r="E106" s="2" t="s">
        <v>354</v>
      </c>
      <c r="F106" s="2">
        <v>36.797699999999999</v>
      </c>
      <c r="G106" s="2">
        <v>-121.9757</v>
      </c>
      <c r="H106" s="1">
        <v>-115.5</v>
      </c>
      <c r="I106" s="2">
        <v>48</v>
      </c>
      <c r="J106" s="1" t="s">
        <v>182</v>
      </c>
      <c r="K106" t="s">
        <v>246</v>
      </c>
      <c r="L106" t="s">
        <v>428</v>
      </c>
      <c r="M106">
        <v>1.797E-2</v>
      </c>
      <c r="N106">
        <f t="shared" si="9"/>
        <v>2.2436593154672075E-2</v>
      </c>
      <c r="O106">
        <f t="shared" si="7"/>
        <v>-121.99813659315467</v>
      </c>
      <c r="P106">
        <f>G106+N106</f>
        <v>-121.95326340684534</v>
      </c>
      <c r="Q106">
        <f t="shared" si="6"/>
        <v>36.815669999999997</v>
      </c>
      <c r="R106">
        <f t="shared" si="8"/>
        <v>36.779730000000001</v>
      </c>
    </row>
    <row r="107" spans="1:18" x14ac:dyDescent="0.3">
      <c r="A107" t="s">
        <v>84</v>
      </c>
      <c r="B107" t="s">
        <v>474</v>
      </c>
      <c r="C107" s="1" t="s">
        <v>194</v>
      </c>
      <c r="D107" s="2" t="s">
        <v>195</v>
      </c>
      <c r="E107" s="2" t="s">
        <v>196</v>
      </c>
      <c r="F107" s="2">
        <v>48.037799999999997</v>
      </c>
      <c r="G107" s="2">
        <v>-124.72845</v>
      </c>
      <c r="H107" s="1">
        <v>-31</v>
      </c>
      <c r="I107" s="2">
        <v>48</v>
      </c>
      <c r="J107" s="1" t="s">
        <v>182</v>
      </c>
      <c r="K107" t="s">
        <v>246</v>
      </c>
      <c r="L107" t="s">
        <v>429</v>
      </c>
      <c r="M107">
        <v>1.797E-2</v>
      </c>
      <c r="N107">
        <f t="shared" si="9"/>
        <v>2.6869793304856702E-2</v>
      </c>
      <c r="O107">
        <f t="shared" si="7"/>
        <v>-124.75531979330485</v>
      </c>
      <c r="P107">
        <f t="shared" si="5"/>
        <v>-124.70158020669514</v>
      </c>
      <c r="Q107">
        <f t="shared" si="6"/>
        <v>48.055769999999995</v>
      </c>
      <c r="R107">
        <f t="shared" si="8"/>
        <v>48.019829999999999</v>
      </c>
    </row>
    <row r="108" spans="1:18" x14ac:dyDescent="0.3">
      <c r="A108" t="s">
        <v>84</v>
      </c>
      <c r="B108" t="s">
        <v>474</v>
      </c>
      <c r="C108" s="1" t="s">
        <v>355</v>
      </c>
      <c r="D108" s="2" t="s">
        <v>356</v>
      </c>
      <c r="E108" s="2" t="s">
        <v>357</v>
      </c>
      <c r="F108" s="2">
        <v>48.037799999999997</v>
      </c>
      <c r="G108" s="2">
        <v>-124.7285</v>
      </c>
      <c r="H108" s="1">
        <v>-31</v>
      </c>
      <c r="I108" s="2">
        <v>48</v>
      </c>
      <c r="J108" s="1" t="s">
        <v>182</v>
      </c>
      <c r="K108" t="s">
        <v>246</v>
      </c>
      <c r="L108" t="s">
        <v>429</v>
      </c>
      <c r="M108">
        <v>1.797E-2</v>
      </c>
      <c r="N108">
        <f t="shared" si="9"/>
        <v>2.6869793304856702E-2</v>
      </c>
      <c r="O108">
        <f t="shared" si="7"/>
        <v>-124.75536979330485</v>
      </c>
      <c r="P108">
        <f t="shared" si="5"/>
        <v>-124.70163020669514</v>
      </c>
      <c r="Q108">
        <f t="shared" si="6"/>
        <v>48.055769999999995</v>
      </c>
      <c r="R108">
        <f t="shared" si="8"/>
        <v>48.019829999999999</v>
      </c>
    </row>
    <row r="109" spans="1:18" x14ac:dyDescent="0.3">
      <c r="A109" t="s">
        <v>84</v>
      </c>
      <c r="B109" t="s">
        <v>475</v>
      </c>
      <c r="C109" s="1" t="s">
        <v>197</v>
      </c>
      <c r="D109" s="2" t="s">
        <v>198</v>
      </c>
      <c r="E109" s="2" t="s">
        <v>199</v>
      </c>
      <c r="F109" s="2">
        <v>48.393799999999999</v>
      </c>
      <c r="G109" s="2">
        <v>-124.62067</v>
      </c>
      <c r="H109" s="1">
        <v>-10.5</v>
      </c>
      <c r="I109" s="2">
        <v>48</v>
      </c>
      <c r="J109" s="1" t="s">
        <v>182</v>
      </c>
      <c r="K109" t="s">
        <v>246</v>
      </c>
      <c r="L109" t="s">
        <v>430</v>
      </c>
      <c r="M109">
        <v>1.797E-2</v>
      </c>
      <c r="N109">
        <f t="shared" si="9"/>
        <v>2.7057275041105364E-2</v>
      </c>
      <c r="O109">
        <f t="shared" si="7"/>
        <v>-124.64772727504111</v>
      </c>
      <c r="P109">
        <f t="shared" si="5"/>
        <v>-124.5936127249589</v>
      </c>
      <c r="Q109">
        <f t="shared" si="6"/>
        <v>48.411769999999997</v>
      </c>
      <c r="R109">
        <f t="shared" si="8"/>
        <v>48.375830000000001</v>
      </c>
    </row>
    <row r="110" spans="1:18" x14ac:dyDescent="0.3">
      <c r="A110" t="s">
        <v>84</v>
      </c>
      <c r="B110" t="s">
        <v>476</v>
      </c>
      <c r="C110" s="1" t="s">
        <v>226</v>
      </c>
      <c r="D110" s="2" t="s">
        <v>227</v>
      </c>
      <c r="E110" s="2" t="s">
        <v>228</v>
      </c>
      <c r="F110" s="2">
        <v>24.81682</v>
      </c>
      <c r="G110" s="2">
        <v>-168.13410999999999</v>
      </c>
      <c r="H110" s="1">
        <v>-33.5</v>
      </c>
      <c r="I110" s="2">
        <v>48</v>
      </c>
      <c r="J110" s="1" t="s">
        <v>182</v>
      </c>
      <c r="K110" t="s">
        <v>246</v>
      </c>
      <c r="L110" t="s">
        <v>397</v>
      </c>
      <c r="M110">
        <v>1.797E-2</v>
      </c>
      <c r="N110">
        <f t="shared" si="9"/>
        <v>1.979412584276458E-2</v>
      </c>
      <c r="O110">
        <f t="shared" si="7"/>
        <v>-168.15390412584276</v>
      </c>
      <c r="P110">
        <f t="shared" si="5"/>
        <v>-168.11431587415723</v>
      </c>
      <c r="Q110">
        <f t="shared" si="6"/>
        <v>24.834789999999998</v>
      </c>
      <c r="R110">
        <f t="shared" si="8"/>
        <v>24.798850000000002</v>
      </c>
    </row>
    <row r="111" spans="1:18" x14ac:dyDescent="0.3">
      <c r="A111" t="s">
        <v>117</v>
      </c>
      <c r="B111" t="s">
        <v>477</v>
      </c>
      <c r="C111" s="1" t="s">
        <v>118</v>
      </c>
      <c r="D111" s="2" t="s">
        <v>119</v>
      </c>
      <c r="E111" s="2" t="s">
        <v>120</v>
      </c>
      <c r="F111" s="2">
        <v>28.1798</v>
      </c>
      <c r="G111" s="2">
        <v>-88.834900000000005</v>
      </c>
      <c r="H111" s="1">
        <v>-1526</v>
      </c>
      <c r="I111" s="1"/>
      <c r="J111" s="1" t="s">
        <v>122</v>
      </c>
      <c r="K111" t="s">
        <v>246</v>
      </c>
      <c r="L111" t="s">
        <v>431</v>
      </c>
      <c r="M111">
        <v>1.797E-2</v>
      </c>
      <c r="N111">
        <f t="shared" si="9"/>
        <v>2.0382115713260634E-2</v>
      </c>
      <c r="O111">
        <f t="shared" si="7"/>
        <v>-88.855282115713266</v>
      </c>
      <c r="P111">
        <f t="shared" si="5"/>
        <v>-88.814517884286744</v>
      </c>
      <c r="Q111">
        <f t="shared" si="6"/>
        <v>28.197769999999998</v>
      </c>
      <c r="R111">
        <f t="shared" si="8"/>
        <v>28.161830000000002</v>
      </c>
    </row>
    <row r="112" spans="1:18" x14ac:dyDescent="0.3">
      <c r="A112" t="s">
        <v>117</v>
      </c>
      <c r="B112" t="s">
        <v>477</v>
      </c>
      <c r="C112" s="1" t="s">
        <v>123</v>
      </c>
      <c r="D112" s="2" t="s">
        <v>124</v>
      </c>
      <c r="E112" s="2" t="s">
        <v>125</v>
      </c>
      <c r="F112" s="2">
        <v>28.66</v>
      </c>
      <c r="G112" s="2">
        <v>-88.83</v>
      </c>
      <c r="H112" s="1">
        <v>-1057</v>
      </c>
      <c r="I112" s="2">
        <v>197</v>
      </c>
      <c r="J112" s="1" t="s">
        <v>122</v>
      </c>
      <c r="K112" t="s">
        <v>246</v>
      </c>
      <c r="L112" t="s">
        <v>368</v>
      </c>
      <c r="M112">
        <v>1.797E-2</v>
      </c>
      <c r="N112">
        <f t="shared" si="9"/>
        <v>2.0474767222434749E-2</v>
      </c>
      <c r="O112">
        <f t="shared" si="7"/>
        <v>-88.850474767222437</v>
      </c>
      <c r="P112">
        <f t="shared" si="5"/>
        <v>-88.80952523277756</v>
      </c>
      <c r="Q112">
        <f t="shared" si="6"/>
        <v>28.677969999999998</v>
      </c>
      <c r="R112">
        <f t="shared" si="8"/>
        <v>28.642030000000002</v>
      </c>
    </row>
    <row r="113" spans="1:18" x14ac:dyDescent="0.3">
      <c r="A113" t="s">
        <v>117</v>
      </c>
      <c r="B113" t="s">
        <v>477</v>
      </c>
      <c r="C113" s="1" t="s">
        <v>133</v>
      </c>
      <c r="D113" s="2" t="s">
        <v>134</v>
      </c>
      <c r="E113" s="2" t="s">
        <v>135</v>
      </c>
      <c r="F113" s="2">
        <v>28.385200000000001</v>
      </c>
      <c r="G113" s="2">
        <v>-89.685299999999998</v>
      </c>
      <c r="H113" s="1">
        <v>-685</v>
      </c>
      <c r="I113" s="2">
        <v>197</v>
      </c>
      <c r="J113" s="1" t="s">
        <v>129</v>
      </c>
      <c r="K113" t="s">
        <v>246</v>
      </c>
      <c r="L113" t="s">
        <v>432</v>
      </c>
      <c r="M113">
        <v>1.797E-2</v>
      </c>
      <c r="N113">
        <f t="shared" si="9"/>
        <v>2.0421467975833028E-2</v>
      </c>
      <c r="O113">
        <f t="shared" si="7"/>
        <v>-89.705721467975835</v>
      </c>
      <c r="P113">
        <f t="shared" si="5"/>
        <v>-89.664878532024161</v>
      </c>
      <c r="Q113">
        <f t="shared" si="6"/>
        <v>28.403169999999999</v>
      </c>
      <c r="R113">
        <f t="shared" si="8"/>
        <v>28.367230000000003</v>
      </c>
    </row>
    <row r="114" spans="1:18" x14ac:dyDescent="0.3">
      <c r="A114" t="s">
        <v>117</v>
      </c>
      <c r="B114" t="s">
        <v>477</v>
      </c>
      <c r="C114" s="1" t="s">
        <v>136</v>
      </c>
      <c r="D114" s="2" t="s">
        <v>137</v>
      </c>
      <c r="E114" s="2" t="s">
        <v>138</v>
      </c>
      <c r="F114" s="2">
        <v>27.809000000000001</v>
      </c>
      <c r="G114" s="2">
        <v>-89.278899999999993</v>
      </c>
      <c r="H114" s="1">
        <v>-1365</v>
      </c>
      <c r="I114" s="2"/>
      <c r="J114" s="1" t="s">
        <v>122</v>
      </c>
      <c r="K114" t="s">
        <v>246</v>
      </c>
      <c r="L114" t="s">
        <v>433</v>
      </c>
      <c r="M114">
        <v>1.797E-2</v>
      </c>
      <c r="N114">
        <f t="shared" si="9"/>
        <v>2.0312116456674349E-2</v>
      </c>
      <c r="O114">
        <f t="shared" si="7"/>
        <v>-89.299212116456673</v>
      </c>
      <c r="P114">
        <f t="shared" si="5"/>
        <v>-89.258587883543314</v>
      </c>
      <c r="Q114">
        <f t="shared" si="6"/>
        <v>27.826969999999999</v>
      </c>
      <c r="R114">
        <f t="shared" si="8"/>
        <v>27.791030000000003</v>
      </c>
    </row>
    <row r="115" spans="1:18" x14ac:dyDescent="0.3">
      <c r="A115" t="s">
        <v>117</v>
      </c>
      <c r="B115" t="s">
        <v>477</v>
      </c>
      <c r="C115" s="1" t="s">
        <v>139</v>
      </c>
      <c r="D115" s="2" t="s">
        <v>140</v>
      </c>
      <c r="E115" s="2" t="s">
        <v>141</v>
      </c>
      <c r="F115" s="2">
        <v>27.643000000000001</v>
      </c>
      <c r="G115" s="2">
        <v>-89.241</v>
      </c>
      <c r="H115" s="1">
        <v>-1413</v>
      </c>
      <c r="I115" s="2">
        <v>197</v>
      </c>
      <c r="J115" s="1" t="s">
        <v>122</v>
      </c>
      <c r="K115" t="s">
        <v>246</v>
      </c>
      <c r="L115" t="s">
        <v>368</v>
      </c>
      <c r="M115">
        <v>1.797E-2</v>
      </c>
      <c r="N115">
        <f t="shared" si="9"/>
        <v>2.0281209367547116E-2</v>
      </c>
      <c r="O115">
        <f t="shared" si="7"/>
        <v>-89.261281209367553</v>
      </c>
      <c r="P115">
        <f t="shared" si="5"/>
        <v>-89.220718790632446</v>
      </c>
      <c r="Q115">
        <f t="shared" si="6"/>
        <v>27.660969999999999</v>
      </c>
      <c r="R115">
        <f t="shared" si="8"/>
        <v>27.625030000000002</v>
      </c>
    </row>
    <row r="116" spans="1:18" x14ac:dyDescent="0.3">
      <c r="A116" t="s">
        <v>117</v>
      </c>
      <c r="B116" t="s">
        <v>478</v>
      </c>
      <c r="C116" s="1" t="s">
        <v>126</v>
      </c>
      <c r="D116" s="2" t="s">
        <v>127</v>
      </c>
      <c r="E116" s="2" t="s">
        <v>128</v>
      </c>
      <c r="F116" s="2">
        <v>28.525200000000002</v>
      </c>
      <c r="G116" s="2">
        <v>-89.299199999999999</v>
      </c>
      <c r="H116" s="1">
        <v>-350</v>
      </c>
      <c r="I116" s="2">
        <v>9.8000000000000007</v>
      </c>
      <c r="J116" s="1" t="s">
        <v>129</v>
      </c>
      <c r="K116" t="s">
        <v>246</v>
      </c>
      <c r="L116" t="s">
        <v>434</v>
      </c>
      <c r="M116">
        <v>1.797E-2</v>
      </c>
      <c r="N116">
        <f t="shared" si="9"/>
        <v>2.0448528387953E-2</v>
      </c>
      <c r="O116">
        <f t="shared" si="7"/>
        <v>-89.319648528387958</v>
      </c>
      <c r="P116">
        <f t="shared" si="5"/>
        <v>-89.27875147161204</v>
      </c>
      <c r="Q116">
        <f t="shared" si="6"/>
        <v>28.54317</v>
      </c>
      <c r="R116">
        <f t="shared" si="8"/>
        <v>28.507230000000003</v>
      </c>
    </row>
    <row r="117" spans="1:18" x14ac:dyDescent="0.3">
      <c r="A117" t="s">
        <v>117</v>
      </c>
      <c r="B117" t="s">
        <v>484</v>
      </c>
      <c r="C117" s="1" t="s">
        <v>130</v>
      </c>
      <c r="D117" s="2" t="s">
        <v>131</v>
      </c>
      <c r="E117" s="2" t="s">
        <v>132</v>
      </c>
      <c r="F117" s="2">
        <v>28.409800000000001</v>
      </c>
      <c r="G117" s="2">
        <v>-89.784599999999998</v>
      </c>
      <c r="H117" s="1">
        <v>-345</v>
      </c>
      <c r="I117" s="2">
        <v>9.8000000000000007</v>
      </c>
      <c r="J117" s="1" t="s">
        <v>129</v>
      </c>
      <c r="K117" t="s">
        <v>246</v>
      </c>
      <c r="L117" t="s">
        <v>435</v>
      </c>
      <c r="M117">
        <v>1.797E-2</v>
      </c>
      <c r="N117">
        <f t="shared" si="9"/>
        <v>2.0426208859544805E-2</v>
      </c>
      <c r="O117">
        <f t="shared" si="7"/>
        <v>-89.805026208859545</v>
      </c>
      <c r="P117">
        <f t="shared" si="5"/>
        <v>-89.76417379114045</v>
      </c>
      <c r="Q117">
        <f t="shared" si="6"/>
        <v>28.427769999999999</v>
      </c>
      <c r="R117">
        <f t="shared" si="8"/>
        <v>28.391830000000002</v>
      </c>
    </row>
    <row r="118" spans="1:18" x14ac:dyDescent="0.3">
      <c r="D118" s="1"/>
      <c r="E118" s="1"/>
      <c r="F118" s="1"/>
      <c r="G118" s="1"/>
      <c r="H118" s="1"/>
      <c r="I118" s="1"/>
      <c r="J118" s="1"/>
      <c r="K118" s="1"/>
    </row>
    <row r="119" spans="1:18" x14ac:dyDescent="0.3">
      <c r="D119" s="1"/>
      <c r="E119" s="1"/>
      <c r="F119" s="1"/>
      <c r="G119" s="1"/>
      <c r="H119" s="1"/>
      <c r="I119" s="1"/>
      <c r="J119" s="1"/>
      <c r="K119" s="1"/>
    </row>
    <row r="120" spans="1:18" x14ac:dyDescent="0.3">
      <c r="D120" s="1"/>
      <c r="E120" s="1"/>
      <c r="F120" s="1"/>
      <c r="G120" s="1"/>
      <c r="H120" s="1"/>
      <c r="I120" s="1"/>
      <c r="J120" s="1"/>
      <c r="K120" s="1"/>
    </row>
    <row r="121" spans="1:18" x14ac:dyDescent="0.3">
      <c r="D121" s="1"/>
      <c r="E121" s="1"/>
      <c r="F121" s="1"/>
      <c r="G121" s="1"/>
      <c r="H121" s="1"/>
      <c r="I121" s="1"/>
      <c r="J121" s="1"/>
      <c r="K121" s="1"/>
    </row>
    <row r="122" spans="1:18" x14ac:dyDescent="0.3">
      <c r="D122" s="1"/>
      <c r="E122" s="1"/>
      <c r="F122" s="1"/>
      <c r="G122" s="1"/>
      <c r="H122" s="1"/>
      <c r="I122" s="1"/>
      <c r="J122" s="1"/>
      <c r="K122" s="1"/>
    </row>
    <row r="123" spans="1:18" x14ac:dyDescent="0.3">
      <c r="D123" s="1"/>
      <c r="E123" s="1"/>
      <c r="F123" s="1"/>
      <c r="G123" s="1"/>
      <c r="H123" s="1"/>
      <c r="I123" s="1"/>
      <c r="J123" s="1"/>
      <c r="K123" s="1"/>
    </row>
    <row r="124" spans="1:18" x14ac:dyDescent="0.3">
      <c r="D124" s="1"/>
      <c r="E124" s="1"/>
      <c r="F124" s="1"/>
      <c r="G124" s="1"/>
      <c r="H124" s="1"/>
      <c r="I124" s="1"/>
      <c r="J124" s="1"/>
      <c r="K124" s="1"/>
    </row>
    <row r="125" spans="1:18" x14ac:dyDescent="0.3">
      <c r="D125" s="1"/>
      <c r="E125" s="1"/>
      <c r="F125" s="1"/>
      <c r="G125" s="1"/>
      <c r="H125" s="1"/>
      <c r="I125" s="1"/>
      <c r="J125" s="1"/>
      <c r="K125" s="1"/>
    </row>
    <row r="126" spans="1:18" x14ac:dyDescent="0.3">
      <c r="D126" s="1"/>
      <c r="E126" s="1"/>
      <c r="F126" s="1"/>
      <c r="G126" s="1"/>
      <c r="H126" s="1"/>
      <c r="I126" s="1"/>
      <c r="J126" s="1"/>
      <c r="K126" s="1"/>
    </row>
    <row r="127" spans="1:18" x14ac:dyDescent="0.3">
      <c r="D127" s="1"/>
      <c r="E127" s="1"/>
      <c r="F127" s="1"/>
      <c r="G127" s="1"/>
      <c r="H127" s="1"/>
      <c r="I127" s="1"/>
      <c r="J127" s="1"/>
      <c r="K127" s="1"/>
    </row>
    <row r="128" spans="1:18" x14ac:dyDescent="0.3">
      <c r="D128" s="1"/>
      <c r="E128" s="1"/>
      <c r="F128" s="1"/>
      <c r="G128" s="1"/>
      <c r="H128" s="1"/>
      <c r="I128" s="1"/>
      <c r="J128" s="1"/>
      <c r="K128" s="1"/>
    </row>
    <row r="129" spans="4:11" x14ac:dyDescent="0.3">
      <c r="D129" s="1"/>
      <c r="E129" s="1"/>
      <c r="F129" s="1"/>
      <c r="G129" s="1"/>
      <c r="H129" s="1"/>
      <c r="I129" s="1"/>
      <c r="J129" s="1"/>
      <c r="K129" s="1"/>
    </row>
    <row r="130" spans="4:11" x14ac:dyDescent="0.3">
      <c r="D130" s="1"/>
      <c r="E130" s="1"/>
      <c r="F130" s="1"/>
      <c r="G130" s="1"/>
      <c r="H130" s="1"/>
      <c r="I130" s="1"/>
      <c r="J130" s="1"/>
      <c r="K130" s="1"/>
    </row>
    <row r="131" spans="4:11" x14ac:dyDescent="0.3">
      <c r="D131" s="1"/>
      <c r="E131" s="1"/>
      <c r="F131" s="1"/>
      <c r="G131" s="1"/>
      <c r="H131" s="1"/>
      <c r="I131" s="1"/>
      <c r="J131" s="1"/>
      <c r="K131" s="1"/>
    </row>
    <row r="132" spans="4:11" x14ac:dyDescent="0.3">
      <c r="D132" s="1"/>
      <c r="E132" s="1"/>
      <c r="F132" s="1"/>
      <c r="G132" s="1"/>
      <c r="H132" s="1"/>
      <c r="I132" s="1"/>
      <c r="J132" s="1"/>
      <c r="K132" s="1"/>
    </row>
    <row r="133" spans="4:11" x14ac:dyDescent="0.3">
      <c r="D133" s="1"/>
      <c r="E133" s="1"/>
      <c r="F133" s="1"/>
      <c r="G133" s="1"/>
      <c r="H133" s="1"/>
      <c r="I133" s="1"/>
      <c r="J133" s="1"/>
      <c r="K133" s="1"/>
    </row>
    <row r="134" spans="4:11" x14ac:dyDescent="0.3">
      <c r="D134" s="1"/>
      <c r="E134" s="1"/>
      <c r="F134" s="1"/>
      <c r="G134" s="1"/>
      <c r="H134" s="1"/>
      <c r="I134" s="1"/>
      <c r="J134" s="1"/>
      <c r="K134" s="1"/>
    </row>
    <row r="135" spans="4:11" x14ac:dyDescent="0.3">
      <c r="D135" s="1"/>
      <c r="E135" s="1"/>
      <c r="F135" s="1"/>
      <c r="G135" s="1"/>
      <c r="H135" s="1"/>
      <c r="I135" s="1"/>
      <c r="J135" s="1"/>
      <c r="K135" s="1"/>
    </row>
    <row r="136" spans="4:11" x14ac:dyDescent="0.3">
      <c r="D136" s="1"/>
      <c r="E136" s="1"/>
      <c r="F136" s="1"/>
      <c r="G136" s="1"/>
      <c r="H136" s="1"/>
      <c r="I136" s="1"/>
      <c r="J136" s="1"/>
      <c r="K136" s="1"/>
    </row>
    <row r="137" spans="4:11" x14ac:dyDescent="0.3">
      <c r="D137" s="1"/>
      <c r="E137" s="1"/>
      <c r="F137" s="1"/>
      <c r="G137" s="1"/>
      <c r="H137" s="1"/>
      <c r="I137" s="1"/>
      <c r="J137" s="1"/>
      <c r="K137" s="1"/>
    </row>
    <row r="138" spans="4:11" x14ac:dyDescent="0.3">
      <c r="D138" s="1"/>
      <c r="E138" s="1"/>
      <c r="F138" s="1"/>
      <c r="G138" s="1"/>
      <c r="H138" s="1"/>
      <c r="I138" s="1"/>
      <c r="J138" s="1"/>
      <c r="K138" s="1"/>
    </row>
    <row r="139" spans="4:11" x14ac:dyDescent="0.3">
      <c r="D139" s="1"/>
      <c r="E139" s="1"/>
      <c r="F139" s="1"/>
      <c r="G139" s="1"/>
      <c r="H139" s="1"/>
      <c r="I139" s="1"/>
      <c r="J139" s="1"/>
      <c r="K139" s="1"/>
    </row>
    <row r="140" spans="4:11" x14ac:dyDescent="0.3">
      <c r="D140" s="1"/>
      <c r="E140" s="1"/>
      <c r="F140" s="1"/>
      <c r="G140" s="1"/>
      <c r="H140" s="1"/>
      <c r="I140" s="1"/>
      <c r="J140" s="1"/>
      <c r="K140" s="1"/>
    </row>
    <row r="141" spans="4:11" x14ac:dyDescent="0.3">
      <c r="D141" s="1"/>
      <c r="E141" s="1"/>
      <c r="F141" s="1"/>
      <c r="G141" s="1"/>
      <c r="H141" s="1"/>
      <c r="I141" s="1"/>
      <c r="J141" s="1"/>
      <c r="K141" s="1"/>
    </row>
    <row r="142" spans="4:11" x14ac:dyDescent="0.3">
      <c r="D142" s="1"/>
      <c r="E142" s="1"/>
      <c r="F142" s="1"/>
      <c r="G142" s="1"/>
      <c r="H142" s="1"/>
      <c r="I142" s="1"/>
      <c r="J142" s="1"/>
      <c r="K142" s="1"/>
    </row>
    <row r="143" spans="4:11" x14ac:dyDescent="0.3">
      <c r="D143" s="1"/>
      <c r="E143" s="1"/>
      <c r="F143" s="1"/>
      <c r="G143" s="1"/>
      <c r="H143" s="1"/>
      <c r="I143" s="1"/>
      <c r="J143" s="1"/>
      <c r="K143" s="1"/>
    </row>
    <row r="144" spans="4:11" x14ac:dyDescent="0.3">
      <c r="D144" s="1"/>
      <c r="E144" s="1"/>
      <c r="F144" s="1"/>
      <c r="G144" s="1"/>
      <c r="H144" s="1"/>
      <c r="I144" s="1"/>
      <c r="J144" s="1"/>
      <c r="K144" s="1"/>
    </row>
    <row r="145" spans="4:11" x14ac:dyDescent="0.3">
      <c r="D145" s="1"/>
      <c r="E145" s="1"/>
      <c r="F145" s="1"/>
      <c r="G145" s="1"/>
      <c r="H145" s="1"/>
      <c r="I145" s="1"/>
      <c r="J145" s="1"/>
      <c r="K145" s="1"/>
    </row>
    <row r="146" spans="4:11" x14ac:dyDescent="0.3">
      <c r="D146" s="1"/>
      <c r="E146" s="1"/>
      <c r="F146" s="1"/>
      <c r="G146" s="1"/>
      <c r="H146" s="1"/>
      <c r="I146" s="1"/>
      <c r="J146" s="1"/>
      <c r="K146" s="1"/>
    </row>
    <row r="147" spans="4:11" x14ac:dyDescent="0.3">
      <c r="D147" s="1"/>
      <c r="E147" s="1"/>
      <c r="F147" s="1"/>
      <c r="G147" s="1"/>
      <c r="H147" s="1"/>
      <c r="I147" s="1"/>
      <c r="J147" s="1"/>
      <c r="K147" s="1"/>
    </row>
    <row r="148" spans="4:11" x14ac:dyDescent="0.3">
      <c r="D148" s="1"/>
      <c r="E148" s="1"/>
      <c r="F148" s="1"/>
      <c r="G148" s="1"/>
      <c r="H148" s="1"/>
      <c r="I148" s="1"/>
      <c r="J148" s="1"/>
      <c r="K148" s="1"/>
    </row>
    <row r="149" spans="4:11" x14ac:dyDescent="0.3">
      <c r="D149" s="1"/>
      <c r="E149" s="1"/>
      <c r="F149" s="1"/>
      <c r="G149" s="1"/>
      <c r="H149" s="1"/>
      <c r="I149" s="1"/>
      <c r="J149" s="1"/>
      <c r="K149" s="1"/>
    </row>
    <row r="150" spans="4:11" x14ac:dyDescent="0.3">
      <c r="D150" s="1"/>
      <c r="E150" s="1"/>
      <c r="F150" s="1"/>
      <c r="G150" s="1"/>
      <c r="H150" s="1"/>
      <c r="I150" s="1"/>
      <c r="J150" s="1"/>
      <c r="K150" s="1"/>
    </row>
    <row r="151" spans="4:11" x14ac:dyDescent="0.3">
      <c r="D151" s="1"/>
      <c r="E151" s="1"/>
      <c r="F151" s="1"/>
      <c r="G151" s="1"/>
      <c r="H151" s="1"/>
      <c r="I151" s="1"/>
      <c r="J151" s="1"/>
      <c r="K151" s="1"/>
    </row>
    <row r="152" spans="4:11" x14ac:dyDescent="0.3">
      <c r="D152" s="1"/>
      <c r="E152" s="1"/>
      <c r="F152" s="1"/>
      <c r="G152" s="1"/>
      <c r="H152" s="1"/>
      <c r="I152" s="1"/>
      <c r="J152" s="1"/>
      <c r="K152" s="1"/>
    </row>
    <row r="153" spans="4:11" x14ac:dyDescent="0.3">
      <c r="D153" s="1"/>
      <c r="E153" s="1"/>
      <c r="F153" s="1"/>
      <c r="G153" s="1"/>
      <c r="H153" s="1"/>
      <c r="I153" s="1"/>
      <c r="J153" s="1"/>
      <c r="K153" s="1"/>
    </row>
    <row r="154" spans="4:11" x14ac:dyDescent="0.3">
      <c r="D154" s="1"/>
      <c r="E154" s="1"/>
      <c r="F154" s="1"/>
      <c r="G154" s="1"/>
      <c r="H154" s="1"/>
      <c r="I154" s="1"/>
      <c r="J154" s="1"/>
      <c r="K154" s="1"/>
    </row>
    <row r="155" spans="4:11" x14ac:dyDescent="0.3">
      <c r="D155" s="1"/>
      <c r="E155" s="1"/>
      <c r="F155" s="1"/>
      <c r="G155" s="1"/>
      <c r="H155" s="1"/>
      <c r="I155" s="1"/>
      <c r="J155" s="1"/>
      <c r="K15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hilde hummel</dc:creator>
  <cp:lastModifiedBy>hilde hummel</cp:lastModifiedBy>
  <dcterms:created xsi:type="dcterms:W3CDTF">2025-01-15T14:09:03Z</dcterms:created>
  <dcterms:modified xsi:type="dcterms:W3CDTF">2025-11-17T09:04:39Z</dcterms:modified>
</cp:coreProperties>
</file>